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BalanceSheet" sheetId="3" state="visible" r:id="rId5"/>
    <sheet name="CashFlow" sheetId="4" state="visible" r:id="rId6"/>
    <sheet name="KPI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<sst xmlns="http://schemas.openxmlformats.org/spreadsheetml/2006/main" count="200" uniqueCount="156">
  <si>
    <t xml:space="preserve">GAMMA COMMUNICATIONS PLC  |  FP&amp;A 3-STATEMENT MODEL</t>
  </si>
  <si>
    <t xml:space="preserve">Assumptions &amp; Drivers   |   All figures in £m unless stated</t>
  </si>
  <si>
    <t xml:space="preserve">Driver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</si>
  <si>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</si>
  <si>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</si>
  <si>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</si>
  <si>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</si>
  <si>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</si>
  <si>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</si>
  <si>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REVENUE DRIVERS</t>
  </si>
  <si>
    <t xml:space="preserve">Gamma Business revenue (£m)</t>
  </si>
  <si>
    <t xml:space="preserve">  YoY growth %</t>
  </si>
  <si>
    <t xml:space="preserve">Gamma Enterprise revenue (£m)</t>
  </si>
  <si>
    <t xml:space="preserve">Gamma Germany revenue (£m)</t>
  </si>
  <si>
    <t xml:space="preserve">Other Europe revenue (£m)</t>
  </si>
  <si>
    <t xml:space="preserve">Total Revenue (£m)</t>
  </si>
  <si>
    <t xml:space="preserve">COST &amp; MARGIN ASSUMPTIONS</t>
  </si>
  <si>
    <t xml:space="preserve">COGS as % of revenue</t>
  </si>
  <si>
    <t xml:space="preserve">Operating cost growth YoY</t>
  </si>
  <si>
    <t xml:space="preserve">D&amp;A as % of revenue</t>
  </si>
  <si>
    <t xml:space="preserve">Interest rate on debt (%)</t>
  </si>
  <si>
    <t xml:space="preserve">Tax rate (%)</t>
  </si>
  <si>
    <t xml:space="preserve">BALANCE SHEET ASSUMPTIONS</t>
  </si>
  <si>
    <t xml:space="preserve">Capex as % of revenue</t>
  </si>
  <si>
    <t xml:space="preserve">DSO – Days Sales Outstanding</t>
  </si>
  <si>
    <t xml:space="preserve">DPO – Days Payable Outstanding</t>
  </si>
  <si>
    <t xml:space="preserve">Inventory days</t>
  </si>
  <si>
    <t xml:space="preserve">SCENARIO ANALYSIS  —  Change cell B32 to switch between cases</t>
  </si>
  <si>
    <t xml:space="preserve">Select Bear / Base / Bull in the dropdown below. All FY2026E and FY2027E assumptions update automatically.</t>
  </si>
  <si>
    <t xml:space="preserve">▶  Active Scenario</t>
  </si>
  <si>
    <t xml:space="preserve">Base</t>
  </si>
  <si>
    <t xml:space="preserve">← click to change</t>
  </si>
  <si>
    <t xml:space="preserve">SCENARIO ASSUMPTIONS  (edit these values)</t>
  </si>
  <si>
    <t xml:space="preserve">Assumption</t>
  </si>
  <si>
    <t xml:space="preserve">Bear 🔴</t>
  </si>
  <si>
    <t xml:space="preserve">Base ⚫</t>
  </si>
  <si>
    <t xml:space="preserve">Bull 🟢</t>
  </si>
  <si>
    <t xml:space="preserve">Gamma Business growth %</t>
  </si>
  <si>
    <t xml:space="preserve">Gamma Enterprise growth %</t>
  </si>
  <si>
    <t xml:space="preserve">Gamma Germany growth %</t>
  </si>
  <si>
    <t xml:space="preserve">Other Europe growth %</t>
  </si>
  <si>
    <t xml:space="preserve">COGS % of revenue</t>
  </si>
  <si>
    <t xml:space="preserve">Opex growth %</t>
  </si>
  <si>
    <t xml:space="preserve">D&amp;A % of revenue</t>
  </si>
  <si>
    <t xml:space="preserve">Tax rate %</t>
  </si>
  <si>
    <t xml:space="preserve">ACTIVE VALUES  (formula-driven — feeds into forecast columns)</t>
  </si>
  <si>
    <t xml:space="preserve">← switches with dropdown</t>
  </si>
  <si>
    <t xml:space="preserve">GAMMA COMMUNICATIONS PLC  |  INCOME STATEMENT (£m)</t>
  </si>
  <si>
    <t xml:space="preserve">All figures £m  |  Blue = actual inputs  |  Black = formula  |  Green = cross-sheet  |  Source: Annual Reports 2022-2025</t>
  </si>
  <si>
    <t xml:space="preserve">◀ FORECAST ▶</t>
  </si>
  <si>
    <t xml:space="preserve">£m</t>
  </si>
  <si>
    <t xml:space="preserve">REVENUE BY SEGMENT</t>
  </si>
  <si>
    <t xml:space="preserve">Gamma Business</t>
  </si>
  <si>
    <t xml:space="preserve">Gamma Enterprise</t>
  </si>
  <si>
    <t xml:space="preserve">Gamma Germany</t>
  </si>
  <si>
    <t xml:space="preserve">Other Europe</t>
  </si>
  <si>
    <t xml:space="preserve">Total Revenue</t>
  </si>
  <si>
    <t xml:space="preserve">COST OF SALES &amp; GROSS PROFIT</t>
  </si>
  <si>
    <t xml:space="preserve">Cost of sales</t>
  </si>
  <si>
    <t xml:space="preserve">Gross Profit</t>
  </si>
  <si>
    <t xml:space="preserve">  Gross margin %</t>
  </si>
  <si>
    <t xml:space="preserve">OPERATING COSTS  (below gross profit, above Adjusted EBITDA)</t>
  </si>
  <si>
    <t xml:space="preserve">Employee &amp; related costs</t>
  </si>
  <si>
    <t xml:space="preserve">Technology &amp; network opex</t>
  </si>
  <si>
    <t xml:space="preserve">Sales, marketing &amp; admin</t>
  </si>
  <si>
    <t xml:space="preserve">Total Operating Costs</t>
  </si>
  <si>
    <t xml:space="preserve">ADJUSTED EBITDA  —  Primary management metric</t>
  </si>
  <si>
    <t xml:space="preserve">Adjusted EBITDA</t>
  </si>
  <si>
    <t xml:space="preserve">  Adjusted EBITDA margin %</t>
  </si>
  <si>
    <t xml:space="preserve">D&amp;A, EXCEPTIONAL ITEMS &amp; EBIT</t>
  </si>
  <si>
    <t xml:space="preserve">Depreciation &amp; amortisation</t>
  </si>
  <si>
    <t xml:space="preserve">Exceptional items</t>
  </si>
  <si>
    <t xml:space="preserve">EBIT (Operating Profit)</t>
  </si>
  <si>
    <t xml:space="preserve">  EBIT margin %</t>
  </si>
  <si>
    <t xml:space="preserve">BELOW THE LINE &amp; NET INCOME</t>
  </si>
  <si>
    <t xml:space="preserve">Finance income</t>
  </si>
  <si>
    <t xml:space="preserve">Finance expense</t>
  </si>
  <si>
    <t xml:space="preserve">Profit Before Tax</t>
  </si>
  <si>
    <t xml:space="preserve">Income tax</t>
  </si>
  <si>
    <t xml:space="preserve">Net Income</t>
  </si>
  <si>
    <t xml:space="preserve">  Net margin %</t>
  </si>
  <si>
    <t xml:space="preserve">GAMMA COMMUNICATIONS PLC  |  BALANCE SHEET (£m)</t>
  </si>
  <si>
    <t xml:space="preserve">All figures £m  |  Blue = input  |  Black = formula  |  Green = cross-sheet link</t>
  </si>
  <si>
    <t xml:space="preserve">NON-CURRENT ASSETS</t>
  </si>
  <si>
    <t xml:space="preserve">PP&amp;E (net book value)</t>
  </si>
  <si>
    <t xml:space="preserve">Intangible assets</t>
  </si>
  <si>
    <t xml:space="preserve">Total Non-Current Assets</t>
  </si>
  <si>
    <t xml:space="preserve">CURRENT ASSETS</t>
  </si>
  <si>
    <t xml:space="preserve">Trade receivables</t>
  </si>
  <si>
    <t xml:space="preserve">Inventory</t>
  </si>
  <si>
    <t xml:space="preserve">Prepayments &amp; other</t>
  </si>
  <si>
    <t xml:space="preserve">Cash &amp; cash equivalents</t>
  </si>
  <si>
    <t xml:space="preserve">Total Current Assets</t>
  </si>
  <si>
    <t xml:space="preserve">TOTAL ASSETS</t>
  </si>
  <si>
    <t xml:space="preserve">CURRENT LIABILITIES</t>
  </si>
  <si>
    <t xml:space="preserve">Trade payables</t>
  </si>
  <si>
    <t xml:space="preserve">Accruals &amp; deferred income</t>
  </si>
  <si>
    <t xml:space="preserve">Current portion of debt</t>
  </si>
  <si>
    <t xml:space="preserve">Total Current Liabilities</t>
  </si>
  <si>
    <t xml:space="preserve">NON-CURRENT LIABILITIES</t>
  </si>
  <si>
    <t xml:space="preserve">Long-term borrowings</t>
  </si>
  <si>
    <t xml:space="preserve">Deferred tax liability</t>
  </si>
  <si>
    <t xml:space="preserve">Total Non-Current Liabilities</t>
  </si>
  <si>
    <t xml:space="preserve">  Total debt (current + LT) – used for interest</t>
  </si>
  <si>
    <t xml:space="preserve">EQUITY</t>
  </si>
  <si>
    <t xml:space="preserve">Share capital &amp; share premium</t>
  </si>
  <si>
    <t xml:space="preserve">Retained earnings</t>
  </si>
  <si>
    <t xml:space="preserve">Total Equity</t>
  </si>
  <si>
    <t xml:space="preserve">TOTAL LIABILITIES &amp; EQUITY</t>
  </si>
  <si>
    <t xml:space="preserve">  Balance check (Assets = L+E)</t>
  </si>
  <si>
    <t xml:space="preserve">GAMMA COMMUNICATIONS PLC  |  CASH FLOW STATEMENT (£m)</t>
  </si>
  <si>
    <t xml:space="preserve">All figures £m  |  Indirect method</t>
  </si>
  <si>
    <t xml:space="preserve">OPERATING ACTIVITIES</t>
  </si>
  <si>
    <t xml:space="preserve">Net income</t>
  </si>
  <si>
    <t xml:space="preserve">Add back: D&amp;A</t>
  </si>
  <si>
    <t xml:space="preserve">Decrease / (increase) in trade receivables</t>
  </si>
  <si>
    <t xml:space="preserve">Decrease / (increase) in inventory</t>
  </si>
  <si>
    <t xml:space="preserve">Increase / (decrease) in trade payables</t>
  </si>
  <si>
    <t xml:space="preserve">Increase / (decrease) in accruals</t>
  </si>
  <si>
    <t xml:space="preserve">Net Cash from Operations</t>
  </si>
  <si>
    <t xml:space="preserve">INVESTING ACTIVITIES</t>
  </si>
  <si>
    <t xml:space="preserve">Capital expenditure</t>
  </si>
  <si>
    <t xml:space="preserve">Net Cash from Investing</t>
  </si>
  <si>
    <t xml:space="preserve">FINANCING ACTIVITIES</t>
  </si>
  <si>
    <t xml:space="preserve">Proceeds from / (repayment of) borrowings</t>
  </si>
  <si>
    <t xml:space="preserve">Interest paid</t>
  </si>
  <si>
    <t xml:space="preserve">Dividends paid</t>
  </si>
  <si>
    <t xml:space="preserve">Net Cash from Financing</t>
  </si>
  <si>
    <t xml:space="preserve">CASH MOVEMENT</t>
  </si>
  <si>
    <t xml:space="preserve">Opening cash balance</t>
  </si>
  <si>
    <t xml:space="preserve">Net change in cash</t>
  </si>
  <si>
    <t xml:space="preserve">Closing cash balance</t>
  </si>
  <si>
    <t xml:space="preserve">Net change in cash (used by BS)</t>
  </si>
  <si>
    <t xml:space="preserve">GAMMA COMMUNICATIONS PLC  |  KPI &amp; RATIO DASHBOARD</t>
  </si>
  <si>
    <t xml:space="preserve">Summary metrics for exec reporting  |  Formulas pull from P&amp;L, BS, CF sheets</t>
  </si>
  <si>
    <t xml:space="preserve">KPI</t>
  </si>
  <si>
    <t xml:space="preserve">GROWTH</t>
  </si>
  <si>
    <t xml:space="preserve">Revenue (£m)</t>
  </si>
  <si>
    <t xml:space="preserve">Revenue growth YoY</t>
  </si>
  <si>
    <t xml:space="preserve">EBITDA (£m)</t>
  </si>
  <si>
    <t xml:space="preserve">EBITDA margin</t>
  </si>
  <si>
    <t xml:space="preserve">Net Income (£m)</t>
  </si>
  <si>
    <t xml:space="preserve">Net margin</t>
  </si>
  <si>
    <t xml:space="preserve">PROFITABILITY</t>
  </si>
  <si>
    <t xml:space="preserve">Gross margin</t>
  </si>
  <si>
    <t xml:space="preserve">EBIT margin</t>
  </si>
  <si>
    <t xml:space="preserve">BALANCE SHEET</t>
  </si>
  <si>
    <t xml:space="preserve">Total assets (£m)</t>
  </si>
  <si>
    <t xml:space="preserve">Net debt (£m)</t>
  </si>
  <si>
    <t xml:space="preserve">CASH FLOW</t>
  </si>
  <si>
    <t xml:space="preserve">Operating CF (£m)</t>
  </si>
  <si>
    <t xml:space="preserve">Capex (£m)</t>
  </si>
  <si>
    <t xml:space="preserve">Free Cash Flow</t>
  </si>
  <si>
    <t xml:space="preserve">SUBSCRIBERS</t>
  </si>
  <si>
    <t xml:space="preserve">Mobile subs (000s)</t>
  </si>
  <si>
    <t xml:space="preserve">BB subs (000s)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</si>
</sst>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.0%;\-0.0%;\-"/>
    <numFmt numFmtId="167" formatCode="#,##0;\(#,##0\);\-"/>
    <numFmt numFmtId="168" formatCode="#,##0.0;\(#,##0.0\);\-"/>
    <numFmt numFmtId="169" formatCode="#,##0.0;\(#,##0.0\);\-"/>
    <numFmt numFmtId="170" formatCode="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0"/>
      <color rgb="FFFF8C0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sz val="10"/>
      <color rgb="FF40404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8"/>
      <color rgb="FFFF8C00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A"/>
        <bgColor rgb="FFFFFFFF"/>
      </patternFill>
    </fill>
    <fill>
      <patternFill patternType="solid">
        <fgColor rgb="FFD6E4F0"/>
        <bgColor rgb="FFEBF3FA"/>
      </patternFill>
    </fill>
    <fill>
      <patternFill patternType="solid">
        <fgColor rgb="FF2E5FA3"/>
        <bgColor rgb="FF3366FF"/>
      </patternFill>
    </fill>
    <fill>
      <patternFill patternType="solid">
        <fgColor rgb="FFFFF3CD"/>
        <bgColor rgb="FFEBF3FA"/>
      </patternFill>
    </fill>
    <fill>
      <patternFill patternType="solid">
        <fgColor rgb="FFC00000"/>
        <bgColor rgb="FF800000"/>
      </patternFill>
    </fill>
    <fill>
      <patternFill patternType="solid">
        <fgColor rgb="FF1E7145"/>
        <bgColor rgb="FF21734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8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CCCCC"/>
      <rgbColor rgb="FF808080"/>
      <rgbColor rgb="FF9999FF"/>
      <rgbColor rgb="FF7030A0"/>
      <rgbColor rgb="FFFFF3CD"/>
      <rgbColor rgb="FFEBF3FA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2173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3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8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15.75" hidden="false" customHeight="true" outlineLevel="0" collapsed="false">
      <c r="A5" s="6" t="s">
        <v>9</v>
      </c>
      <c r="B5" s="6"/>
      <c r="C5" s="6"/>
      <c r="D5" s="6"/>
      <c r="E5" s="6"/>
      <c r="F5" s="6"/>
      <c r="G5" s="6"/>
    </row>
    <row r="6" customFormat="false" ht="15" hidden="false" customHeight="true" outlineLevel="0" collapsed="false">
      <c r="A6" s="7" t="s">
        <v>10</v>
      </c>
      <c r="B6" s="8" t="n">
        <v>309.4</v>
      </c>
      <c r="C6" s="8" t="n">
        <v>332.2</v>
      </c>
      <c r="D6" s="8" t="n">
        <v>368.9</v>
      </c>
      <c r="E6" s="8" t="n">
        <v>374.6</v>
      </c>
      <c r="F6" s="9" t="n">
        <f aca="false">E6*(1+F7)</f>
        <v>382.092</v>
      </c>
      <c r="G6" s="9" t="n">
        <f aca="false">F6*(1+G7)</f>
        <v>389.73384</v>
      </c>
    </row>
    <row r="7" customFormat="false" ht="15" hidden="false" customHeight="true" outlineLevel="0" collapsed="false">
      <c r="A7" s="7" t="s">
        <v>11</v>
      </c>
      <c r="C7" s="10" t="n">
        <f aca="false">(C6-B6)/B6</f>
        <v>0.0736910148674855</v>
      </c>
      <c r="D7" s="10" t="n">
        <f aca="false">(D6-C6)/C6</f>
        <v>0.110475617098134</v>
      </c>
      <c r="E7" s="10" t="n">
        <f aca="false">(E6-D6)/D6</f>
        <v>0.0154513418270535</v>
      </c>
      <c r="F7" s="11" t="n">
        <f aca="false">$B$47</f>
        <v>0.02</v>
      </c>
      <c r="G7" s="11" t="n">
        <f aca="false">$B$47</f>
        <v>0.02</v>
      </c>
    </row>
    <row r="8" customFormat="false" ht="15" hidden="false" customHeight="true" outlineLevel="0" collapsed="false">
      <c r="A8" s="7" t="s">
        <v>12</v>
      </c>
      <c r="B8" s="8" t="n">
        <v>102</v>
      </c>
      <c r="C8" s="8" t="n">
        <v>110.1</v>
      </c>
      <c r="D8" s="8" t="n">
        <v>126.5</v>
      </c>
      <c r="E8" s="8" t="n">
        <v>130.5</v>
      </c>
      <c r="F8" s="9" t="n">
        <f aca="false">E8*(1+F9)</f>
        <v>135.72</v>
      </c>
      <c r="G8" s="9" t="n">
        <f aca="false">F8*(1+G9)</f>
        <v>141.1488</v>
      </c>
    </row>
    <row r="9" customFormat="false" ht="15" hidden="false" customHeight="true" outlineLevel="0" collapsed="false">
      <c r="A9" s="7" t="s">
        <v>11</v>
      </c>
      <c r="C9" s="10" t="n">
        <f aca="false">(C8-B8)/B8</f>
        <v>0.0794117647058823</v>
      </c>
      <c r="D9" s="10" t="n">
        <f aca="false">(D8-C8)/C8</f>
        <v>0.148955495004541</v>
      </c>
      <c r="E9" s="10" t="n">
        <f aca="false">(E8-D8)/D8</f>
        <v>0.0316205533596838</v>
      </c>
      <c r="F9" s="11" t="n">
        <f aca="false">$B$48</f>
        <v>0.04</v>
      </c>
      <c r="G9" s="11" t="n">
        <f aca="false">$B$48</f>
        <v>0.04</v>
      </c>
    </row>
    <row r="10" customFormat="false" ht="15" hidden="false" customHeight="true" outlineLevel="0" collapsed="false">
      <c r="A10" s="7" t="s">
        <v>13</v>
      </c>
      <c r="B10" s="8" t="n">
        <v>43</v>
      </c>
      <c r="C10" s="8" t="n">
        <v>47.2</v>
      </c>
      <c r="D10" s="8" t="n">
        <v>54.3</v>
      </c>
      <c r="E10" s="8" t="n">
        <v>110.2</v>
      </c>
      <c r="F10" s="9" t="n">
        <f aca="false">E10*(1+F11)</f>
        <v>126.73</v>
      </c>
      <c r="G10" s="9" t="n">
        <f aca="false">F10*(1+G11)</f>
        <v>145.7395</v>
      </c>
    </row>
    <row r="11" customFormat="false" ht="15" hidden="false" customHeight="true" outlineLevel="0" collapsed="false">
      <c r="A11" s="7" t="s">
        <v>11</v>
      </c>
      <c r="C11" s="10" t="n">
        <f aca="false">(C10-B10)/B10</f>
        <v>0.0976744186046512</v>
      </c>
      <c r="D11" s="10" t="n">
        <f aca="false">(D10-C10)/C10</f>
        <v>0.150423728813559</v>
      </c>
      <c r="E11" s="10" t="n">
        <f aca="false">(E10-D10)/D10</f>
        <v>1.02946593001842</v>
      </c>
      <c r="F11" s="11" t="n">
        <f aca="false">$B$49</f>
        <v>0.15</v>
      </c>
      <c r="G11" s="11" t="n">
        <f aca="false">$B$49</f>
        <v>0.15</v>
      </c>
    </row>
    <row r="12" customFormat="false" ht="15" hidden="false" customHeight="true" outlineLevel="0" collapsed="false">
      <c r="A12" s="7" t="s">
        <v>14</v>
      </c>
      <c r="B12" s="8" t="n">
        <v>30.2</v>
      </c>
      <c r="C12" s="8" t="n">
        <v>32.2</v>
      </c>
      <c r="D12" s="8" t="n">
        <v>29.7</v>
      </c>
      <c r="E12" s="8" t="n">
        <v>30.5</v>
      </c>
      <c r="F12" s="9" t="n">
        <f aca="false">E12*(1+F13)</f>
        <v>31.415</v>
      </c>
      <c r="G12" s="9" t="n">
        <f aca="false">F12*(1+G13)</f>
        <v>32.35745</v>
      </c>
    </row>
    <row r="13" customFormat="false" ht="15" hidden="false" customHeight="true" outlineLevel="0" collapsed="false">
      <c r="A13" s="7" t="s">
        <v>11</v>
      </c>
      <c r="B13" s="12" t="n">
        <v>18400</v>
      </c>
      <c r="C13" s="10" t="n">
        <f aca="false">(C12-B12)/B12</f>
        <v>0.066225165562914</v>
      </c>
      <c r="D13" s="10" t="n">
        <f aca="false">(D12-C12)/C12</f>
        <v>-0.0776397515527951</v>
      </c>
      <c r="E13" s="10" t="n">
        <f aca="false">(E12-D12)/D12</f>
        <v>0.026936026936027</v>
      </c>
      <c r="F13" s="11" t="n">
        <f aca="false">$B$50</f>
        <v>0.03</v>
      </c>
      <c r="G13" s="11" t="n">
        <f aca="false">$B$50</f>
        <v>0.03</v>
      </c>
    </row>
    <row r="14" customFormat="false" ht="15" hidden="false" customHeight="true" outlineLevel="0" collapsed="false">
      <c r="A14" s="13" t="s">
        <v>15</v>
      </c>
      <c r="B14" s="14" t="n">
        <f aca="false">B6+B8+B10+B12</f>
        <v>484.6</v>
      </c>
      <c r="C14" s="14" t="n">
        <f aca="false">C6+C8+C10+C12</f>
        <v>521.7</v>
      </c>
      <c r="D14" s="14" t="n">
        <f aca="false">D6+D8+D10+D12</f>
        <v>579.4</v>
      </c>
      <c r="E14" s="14" t="n">
        <f aca="false">E6+E8+E10+E12</f>
        <v>645.8</v>
      </c>
      <c r="F14" s="14" t="n">
        <f aca="false">F6+F8+F10+F12</f>
        <v>675.957</v>
      </c>
      <c r="G14" s="14" t="n">
        <f aca="false">G6+G8+G10+G12</f>
        <v>708.97959</v>
      </c>
    </row>
    <row r="15" customFormat="false" ht="15" hidden="false" customHeight="true" outlineLevel="0" collapsed="false">
      <c r="E15" s="15" t="n">
        <v>0.1</v>
      </c>
      <c r="F15" s="15" t="n">
        <v>0.08</v>
      </c>
      <c r="G15" s="15" t="n">
        <v>0.07</v>
      </c>
    </row>
    <row r="16" customFormat="false" ht="15.75" hidden="false" customHeight="true" outlineLevel="0" collapsed="false">
      <c r="A16" s="6" t="s">
        <v>16</v>
      </c>
      <c r="B16" s="6"/>
      <c r="C16" s="6"/>
      <c r="D16" s="6"/>
      <c r="E16" s="6"/>
      <c r="F16" s="6"/>
      <c r="G16" s="6"/>
    </row>
    <row r="17" customFormat="false" ht="15" hidden="false" customHeight="true" outlineLevel="0" collapsed="false">
      <c r="A17" s="16" t="s">
        <v>17</v>
      </c>
      <c r="B17" s="17" t="n">
        <v>0.489</v>
      </c>
      <c r="C17" s="17" t="n">
        <v>0.488</v>
      </c>
      <c r="D17" s="17" t="n">
        <v>0.482</v>
      </c>
      <c r="E17" s="17" t="n">
        <v>0.461</v>
      </c>
      <c r="F17" s="11" t="n">
        <f aca="false">$B$51</f>
        <v>0.455</v>
      </c>
      <c r="G17" s="11" t="n">
        <f aca="false">$B$51</f>
        <v>0.455</v>
      </c>
    </row>
    <row r="18" customFormat="false" ht="15" hidden="false" customHeight="true" outlineLevel="0" collapsed="false">
      <c r="A18" s="16" t="s">
        <v>18</v>
      </c>
      <c r="C18" s="17" t="n">
        <v>0.04</v>
      </c>
      <c r="D18" s="17" t="n">
        <v>0.04</v>
      </c>
      <c r="E18" s="17" t="n">
        <v>0.05</v>
      </c>
      <c r="F18" s="11" t="n">
        <f aca="false">$B$52</f>
        <v>0.03</v>
      </c>
      <c r="G18" s="11" t="n">
        <f aca="false">$B$52</f>
        <v>0.03</v>
      </c>
    </row>
    <row r="19" customFormat="false" ht="15" hidden="false" customHeight="true" outlineLevel="0" collapsed="false">
      <c r="A19" s="16" t="s">
        <v>19</v>
      </c>
      <c r="B19" s="17" t="n">
        <v>0.056</v>
      </c>
      <c r="C19" s="17" t="n">
        <v>0.06</v>
      </c>
      <c r="D19" s="17" t="n">
        <v>0.058</v>
      </c>
      <c r="E19" s="17" t="n">
        <v>0.062</v>
      </c>
      <c r="F19" s="11" t="n">
        <f aca="false">$B$53</f>
        <v>0.08</v>
      </c>
      <c r="G19" s="11" t="n">
        <f aca="false">$B$53</f>
        <v>0.08</v>
      </c>
    </row>
    <row r="20" customFormat="false" ht="15" hidden="false" customHeight="true" outlineLevel="0" collapsed="false">
      <c r="A20" s="16" t="s">
        <v>20</v>
      </c>
      <c r="B20" s="17" t="n">
        <v>0.02</v>
      </c>
      <c r="C20" s="17" t="n">
        <v>0.015</v>
      </c>
      <c r="D20" s="17" t="n">
        <v>0.01</v>
      </c>
      <c r="E20" s="17" t="n">
        <v>0.055</v>
      </c>
      <c r="F20" s="17" t="n">
        <v>0.055</v>
      </c>
      <c r="G20" s="17" t="n">
        <v>0.055</v>
      </c>
    </row>
    <row r="21" customFormat="false" ht="15" hidden="false" customHeight="true" outlineLevel="0" collapsed="false">
      <c r="A21" s="16" t="s">
        <v>21</v>
      </c>
      <c r="B21" s="17" t="n">
        <v>0.237</v>
      </c>
      <c r="C21" s="17" t="n">
        <v>0.249</v>
      </c>
      <c r="D21" s="17" t="n">
        <v>0.27</v>
      </c>
      <c r="E21" s="17" t="n">
        <v>0.259</v>
      </c>
      <c r="F21" s="11" t="n">
        <f aca="false">$B$54</f>
        <v>0.25</v>
      </c>
      <c r="G21" s="11" t="n">
        <f aca="false">$B$54</f>
        <v>0.25</v>
      </c>
    </row>
    <row r="23" customFormat="false" ht="15.75" hidden="false" customHeight="true" outlineLevel="0" collapsed="false">
      <c r="A23" s="6" t="s">
        <v>22</v>
      </c>
      <c r="B23" s="6"/>
      <c r="C23" s="6"/>
      <c r="D23" s="6"/>
      <c r="E23" s="6"/>
      <c r="F23" s="6"/>
      <c r="G23" s="6"/>
    </row>
    <row r="24" customFormat="false" ht="15" hidden="false" customHeight="true" outlineLevel="0" collapsed="false">
      <c r="A24" s="16" t="s">
        <v>23</v>
      </c>
      <c r="B24" s="17" t="n">
        <v>0.042</v>
      </c>
      <c r="C24" s="17" t="n">
        <v>0.044</v>
      </c>
      <c r="D24" s="17" t="n">
        <v>0.033</v>
      </c>
      <c r="E24" s="17" t="n">
        <v>0.037</v>
      </c>
      <c r="F24" s="17" t="n">
        <v>0.037</v>
      </c>
      <c r="G24" s="17" t="n">
        <v>0.035</v>
      </c>
    </row>
    <row r="25" customFormat="false" ht="15" hidden="false" customHeight="true" outlineLevel="0" collapsed="false">
      <c r="A25" s="16" t="s">
        <v>24</v>
      </c>
      <c r="B25" s="8" t="n">
        <v>56</v>
      </c>
      <c r="C25" s="8" t="n">
        <v>53</v>
      </c>
      <c r="D25" s="8" t="n">
        <v>50</v>
      </c>
      <c r="E25" s="8" t="n">
        <v>44</v>
      </c>
      <c r="F25" s="8" t="n">
        <v>43</v>
      </c>
      <c r="G25" s="8" t="n">
        <v>42</v>
      </c>
    </row>
    <row r="26" customFormat="false" ht="15" hidden="false" customHeight="true" outlineLevel="0" collapsed="false">
      <c r="A26" s="16" t="s">
        <v>25</v>
      </c>
      <c r="B26" s="8" t="n">
        <v>83</v>
      </c>
      <c r="C26" s="8" t="n">
        <v>95</v>
      </c>
      <c r="D26" s="8" t="n">
        <v>89</v>
      </c>
      <c r="E26" s="8" t="n">
        <v>88</v>
      </c>
      <c r="F26" s="8" t="n">
        <v>88</v>
      </c>
      <c r="G26" s="8" t="n">
        <v>88</v>
      </c>
    </row>
    <row r="27" customFormat="false" ht="15" hidden="false" customHeight="true" outlineLevel="0" collapsed="false">
      <c r="A27" s="16" t="s">
        <v>26</v>
      </c>
      <c r="B27" s="8" t="n">
        <v>16</v>
      </c>
      <c r="C27" s="8" t="n">
        <v>17</v>
      </c>
      <c r="D27" s="8" t="n">
        <v>13</v>
      </c>
      <c r="E27" s="8" t="n">
        <v>10</v>
      </c>
      <c r="F27" s="8" t="n">
        <v>9</v>
      </c>
      <c r="G27" s="8" t="n">
        <v>8</v>
      </c>
    </row>
    <row r="30" customFormat="false" ht="21.75" hidden="false" customHeight="true" outlineLevel="0" collapsed="false">
      <c r="A30" s="18" t="s">
        <v>27</v>
      </c>
      <c r="B30" s="18"/>
      <c r="C30" s="18"/>
      <c r="D30" s="18"/>
      <c r="E30" s="18"/>
      <c r="F30" s="18"/>
      <c r="G30" s="18"/>
      <c r="H30" s="19"/>
    </row>
    <row r="31" customFormat="false" ht="13.5" hidden="false" customHeight="true" outlineLevel="0" collapsed="false">
      <c r="A31" s="20" t="s">
        <v>28</v>
      </c>
      <c r="B31" s="20"/>
      <c r="C31" s="20"/>
      <c r="D31" s="20"/>
      <c r="E31" s="20"/>
      <c r="F31" s="20"/>
      <c r="G31" s="20"/>
      <c r="H31" s="19"/>
    </row>
    <row r="32" customFormat="false" ht="24" hidden="false" customHeight="true" outlineLevel="0" collapsed="false">
      <c r="A32" s="4" t="s">
        <v>29</v>
      </c>
      <c r="B32" s="21" t="s">
        <v>30</v>
      </c>
      <c r="C32" s="22" t="s">
        <v>31</v>
      </c>
      <c r="D32" s="19"/>
      <c r="E32" s="19"/>
      <c r="F32" s="19"/>
      <c r="G32" s="19"/>
      <c r="H32" s="19"/>
    </row>
    <row r="33" customFormat="false" ht="15.75" hidden="false" customHeight="true" outlineLevel="0" collapsed="false">
      <c r="A33" s="23" t="str">
        <f aca="false">IF($B$32="Bear","⚠  BEAR CASE — stressed assumptions in forecast columns",IF($B$32="Bull","✓  BULL CASE — optimistic assumptions in forecast columns","●  BASE CASE — central assumptions in forecast columns"))</f>
        <v>●  BASE CASE — central assumptions in forecast columns</v>
      </c>
      <c r="B33" s="23"/>
      <c r="C33" s="23"/>
      <c r="D33" s="23"/>
      <c r="E33" s="23"/>
      <c r="F33" s="23"/>
      <c r="G33" s="23"/>
      <c r="H33" s="19"/>
    </row>
    <row r="34" customFormat="false" ht="1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</row>
    <row r="35" customFormat="false" ht="15.75" hidden="false" customHeight="true" outlineLevel="0" collapsed="false">
      <c r="A35" s="24" t="s">
        <v>32</v>
      </c>
      <c r="B35" s="24"/>
      <c r="C35" s="24"/>
      <c r="D35" s="24"/>
      <c r="E35" s="24"/>
      <c r="F35" s="19"/>
      <c r="G35" s="19"/>
      <c r="H35" s="19"/>
    </row>
    <row r="36" customFormat="false" ht="18" hidden="false" customHeight="true" outlineLevel="0" collapsed="false">
      <c r="A36" s="25" t="s">
        <v>33</v>
      </c>
      <c r="B36" s="26" t="s">
        <v>34</v>
      </c>
      <c r="C36" s="5" t="s">
        <v>35</v>
      </c>
      <c r="D36" s="27" t="s">
        <v>36</v>
      </c>
      <c r="E36" s="19"/>
      <c r="F36" s="19"/>
      <c r="G36" s="19"/>
      <c r="H36" s="19"/>
    </row>
    <row r="37" customFormat="false" ht="15" hidden="false" customHeight="true" outlineLevel="0" collapsed="false">
      <c r="A37" s="28" t="s">
        <v>37</v>
      </c>
      <c r="B37" s="29" t="n">
        <v>0</v>
      </c>
      <c r="C37" s="29" t="n">
        <v>0.02</v>
      </c>
      <c r="D37" s="29" t="n">
        <v>0.04</v>
      </c>
      <c r="E37" s="19"/>
      <c r="F37" s="19"/>
      <c r="G37" s="19"/>
      <c r="H37" s="19"/>
    </row>
    <row r="38" customFormat="false" ht="15" hidden="false" customHeight="true" outlineLevel="0" collapsed="false">
      <c r="A38" s="30" t="s">
        <v>38</v>
      </c>
      <c r="B38" s="17" t="n">
        <v>0.02</v>
      </c>
      <c r="C38" s="17" t="n">
        <v>0.04</v>
      </c>
      <c r="D38" s="17" t="n">
        <v>0.06</v>
      </c>
      <c r="E38" s="19"/>
      <c r="F38" s="19"/>
      <c r="G38" s="19"/>
      <c r="H38" s="19"/>
    </row>
    <row r="39" customFormat="false" ht="15" hidden="false" customHeight="true" outlineLevel="0" collapsed="false">
      <c r="A39" s="28" t="s">
        <v>39</v>
      </c>
      <c r="B39" s="29" t="n">
        <v>0.05</v>
      </c>
      <c r="C39" s="29" t="n">
        <v>0.15</v>
      </c>
      <c r="D39" s="29" t="n">
        <v>0.25</v>
      </c>
      <c r="E39" s="19"/>
      <c r="F39" s="19"/>
      <c r="G39" s="19"/>
      <c r="H39" s="19"/>
    </row>
    <row r="40" customFormat="false" ht="15" hidden="false" customHeight="true" outlineLevel="0" collapsed="false">
      <c r="A40" s="30" t="s">
        <v>40</v>
      </c>
      <c r="B40" s="17" t="n">
        <v>0.01</v>
      </c>
      <c r="C40" s="17" t="n">
        <v>0.03</v>
      </c>
      <c r="D40" s="17" t="n">
        <v>0.05</v>
      </c>
      <c r="E40" s="19"/>
      <c r="F40" s="19"/>
      <c r="G40" s="19"/>
      <c r="H40" s="19"/>
    </row>
    <row r="41" customFormat="false" ht="15" hidden="false" customHeight="true" outlineLevel="0" collapsed="false">
      <c r="A41" s="28" t="s">
        <v>41</v>
      </c>
      <c r="B41" s="29" t="n">
        <v>0.47</v>
      </c>
      <c r="C41" s="29" t="n">
        <v>0.455</v>
      </c>
      <c r="D41" s="29" t="n">
        <v>0.44</v>
      </c>
      <c r="E41" s="19"/>
      <c r="F41" s="19"/>
      <c r="G41" s="19"/>
      <c r="H41" s="19"/>
    </row>
    <row r="42" customFormat="false" ht="15" hidden="false" customHeight="true" outlineLevel="0" collapsed="false">
      <c r="A42" s="30" t="s">
        <v>42</v>
      </c>
      <c r="B42" s="17" t="n">
        <v>0.05</v>
      </c>
      <c r="C42" s="17" t="n">
        <v>0.03</v>
      </c>
      <c r="D42" s="17" t="n">
        <v>0.02</v>
      </c>
      <c r="E42" s="19"/>
      <c r="F42" s="19"/>
      <c r="G42" s="19"/>
      <c r="H42" s="19"/>
    </row>
    <row r="43" customFormat="false" ht="15" hidden="false" customHeight="true" outlineLevel="0" collapsed="false">
      <c r="A43" s="28" t="s">
        <v>43</v>
      </c>
      <c r="B43" s="29" t="n">
        <v>0.09</v>
      </c>
      <c r="C43" s="29" t="n">
        <v>0.08</v>
      </c>
      <c r="D43" s="29" t="n">
        <v>0.07</v>
      </c>
      <c r="E43" s="19"/>
      <c r="F43" s="19"/>
      <c r="G43" s="19"/>
      <c r="H43" s="19"/>
    </row>
    <row r="44" customFormat="false" ht="15" hidden="false" customHeight="true" outlineLevel="0" collapsed="false">
      <c r="A44" s="30" t="s">
        <v>44</v>
      </c>
      <c r="B44" s="17" t="n">
        <v>0.26</v>
      </c>
      <c r="C44" s="17" t="n">
        <v>0.25</v>
      </c>
      <c r="D44" s="17" t="n">
        <v>0.24</v>
      </c>
      <c r="E44" s="19"/>
      <c r="F44" s="19"/>
      <c r="G44" s="19"/>
      <c r="H44" s="19"/>
    </row>
    <row r="45" customFormat="false" ht="1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</row>
    <row r="46" customFormat="false" ht="15.75" hidden="false" customHeight="true" outlineLevel="0" collapsed="false">
      <c r="A46" s="24" t="s">
        <v>45</v>
      </c>
      <c r="B46" s="24"/>
      <c r="C46" s="24"/>
      <c r="D46" s="24"/>
      <c r="E46" s="24"/>
      <c r="F46" s="19"/>
      <c r="G46" s="19"/>
      <c r="H46" s="19"/>
    </row>
    <row r="47" customFormat="false" ht="15" hidden="false" customHeight="true" outlineLevel="0" collapsed="false">
      <c r="A47" s="28" t="s">
        <v>37</v>
      </c>
      <c r="B47" s="31" t="n">
        <f aca="false">IF($B$32="Bear",B37,IF($B$32="Bull",D37,C37))</f>
        <v>0.02</v>
      </c>
      <c r="C47" s="32" t="s">
        <v>46</v>
      </c>
      <c r="D47" s="19"/>
      <c r="E47" s="19"/>
      <c r="F47" s="19"/>
      <c r="G47" s="19"/>
      <c r="H47" s="19"/>
    </row>
    <row r="48" customFormat="false" ht="15" hidden="false" customHeight="true" outlineLevel="0" collapsed="false">
      <c r="A48" s="30" t="s">
        <v>38</v>
      </c>
      <c r="B48" s="33" t="n">
        <f aca="false">IF($B$32="Bear",B38,IF($B$32="Bull",D38,C38))</f>
        <v>0.04</v>
      </c>
      <c r="C48" s="32" t="s">
        <v>46</v>
      </c>
      <c r="D48" s="19"/>
      <c r="E48" s="19"/>
      <c r="F48" s="19"/>
      <c r="G48" s="19"/>
      <c r="H48" s="19"/>
    </row>
    <row r="49" customFormat="false" ht="15" hidden="false" customHeight="true" outlineLevel="0" collapsed="false">
      <c r="A49" s="28" t="s">
        <v>39</v>
      </c>
      <c r="B49" s="31" t="n">
        <f aca="false">IF($B$32="Bear",B39,IF($B$32="Bull",D39,C39))</f>
        <v>0.15</v>
      </c>
      <c r="C49" s="32" t="s">
        <v>46</v>
      </c>
      <c r="D49" s="19"/>
      <c r="E49" s="19"/>
      <c r="F49" s="19"/>
      <c r="G49" s="19"/>
      <c r="H49" s="19"/>
    </row>
    <row r="50" customFormat="false" ht="15" hidden="false" customHeight="true" outlineLevel="0" collapsed="false">
      <c r="A50" s="30" t="s">
        <v>40</v>
      </c>
      <c r="B50" s="33" t="n">
        <f aca="false">IF($B$32="Bear",B40,IF($B$32="Bull",D40,C40))</f>
        <v>0.03</v>
      </c>
      <c r="C50" s="32" t="s">
        <v>46</v>
      </c>
      <c r="D50" s="19"/>
      <c r="E50" s="19"/>
      <c r="F50" s="19"/>
      <c r="G50" s="19"/>
      <c r="H50" s="19"/>
    </row>
    <row r="51" customFormat="false" ht="15" hidden="false" customHeight="true" outlineLevel="0" collapsed="false">
      <c r="A51" s="28" t="s">
        <v>41</v>
      </c>
      <c r="B51" s="31" t="n">
        <f aca="false">IF($B$32="Bear",B41,IF($B$32="Bull",D41,C41))</f>
        <v>0.455</v>
      </c>
      <c r="C51" s="32" t="s">
        <v>46</v>
      </c>
      <c r="D51" s="19"/>
      <c r="E51" s="19"/>
      <c r="F51" s="19"/>
      <c r="G51" s="19"/>
      <c r="H51" s="19"/>
    </row>
    <row r="52" customFormat="false" ht="15" hidden="false" customHeight="true" outlineLevel="0" collapsed="false">
      <c r="A52" s="30" t="s">
        <v>42</v>
      </c>
      <c r="B52" s="33" t="n">
        <f aca="false">IF($B$32="Bear",B42,IF($B$32="Bull",D42,C42))</f>
        <v>0.03</v>
      </c>
      <c r="C52" s="32" t="s">
        <v>46</v>
      </c>
      <c r="D52" s="19"/>
      <c r="E52" s="19"/>
      <c r="F52" s="19"/>
      <c r="G52" s="19"/>
      <c r="H52" s="19"/>
    </row>
    <row r="53" customFormat="false" ht="15" hidden="false" customHeight="true" outlineLevel="0" collapsed="false">
      <c r="A53" s="28" t="s">
        <v>43</v>
      </c>
      <c r="B53" s="31" t="n">
        <f aca="false">IF($B$32="Bear",B43,IF($B$32="Bull",D43,C43))</f>
        <v>0.08</v>
      </c>
      <c r="C53" s="32" t="s">
        <v>46</v>
      </c>
      <c r="D53" s="19"/>
      <c r="E53" s="19"/>
      <c r="F53" s="19"/>
      <c r="G53" s="19"/>
      <c r="H53" s="19"/>
    </row>
    <row r="54" customFormat="false" ht="15" hidden="false" customHeight="true" outlineLevel="0" collapsed="false">
      <c r="A54" s="30" t="s">
        <v>44</v>
      </c>
      <c r="B54" s="33" t="n">
        <f aca="false">IF($B$32="Bear",B44,IF($B$32="Bull",D44,C44))</f>
        <v>0.25</v>
      </c>
      <c r="C54" s="32" t="s">
        <v>46</v>
      </c>
      <c r="D54" s="19"/>
      <c r="E54" s="19"/>
      <c r="F54" s="19"/>
      <c r="G54" s="19"/>
      <c r="H54" s="19"/>
    </row>
    <row r="55" customFormat="false" ht="1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</row>
    <row r="56" customFormat="false" ht="1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</row>
    <row r="57" customFormat="false" ht="1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</row>
    <row r="58" customFormat="false" ht="1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</row>
    <row r="59" customFormat="false" ht="1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</row>
    <row r="60" customFormat="false" ht="1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</row>
  </sheetData>
  <mergeCells count="7">
    <mergeCell ref="A1:H1"/>
    <mergeCell ref="A2:H2"/>
    <mergeCell ref="A5:G5"/>
    <mergeCell ref="A16:G16"/>
    <mergeCell ref="A23:G23"/>
    <mergeCell ref="A31:G31"/>
    <mergeCell ref="A33:G33"/>
  </mergeCells>
  <dataValidations count="1">
    <dataValidation allowBlank="false" errorStyle="stop" operator="between" showDropDown="false" showErrorMessage="false" showInputMessage="false" sqref="B32" type="list">
      <formula1>"Bear,Base,Bull"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7" min="2" style="1" width="14"/>
  </cols>
  <sheetData>
    <row r="1" customFormat="false" ht="27.75" hidden="false" customHeight="true" outlineLevel="0" collapsed="false">
      <c r="A1" s="34" t="s">
        <v>47</v>
      </c>
    </row>
    <row r="2" customFormat="false" ht="13.5" hidden="false" customHeight="true" outlineLevel="0" collapsed="false">
      <c r="A2" s="35" t="s">
        <v>48</v>
      </c>
    </row>
    <row r="3" customFormat="false" ht="15" hidden="false" customHeight="true" outlineLevel="0" collapsed="false">
      <c r="A3" s="19"/>
      <c r="B3" s="19"/>
      <c r="C3" s="19"/>
      <c r="D3" s="19"/>
      <c r="E3" s="19"/>
      <c r="F3" s="36" t="s">
        <v>49</v>
      </c>
      <c r="G3" s="36"/>
    </row>
    <row r="4" customFormat="false" ht="18" hidden="false" customHeight="true" outlineLevel="0" collapsed="false">
      <c r="A4" s="37" t="s">
        <v>50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15.75" hidden="false" customHeight="true" outlineLevel="0" collapsed="false">
      <c r="A5" s="24" t="s">
        <v>51</v>
      </c>
      <c r="B5" s="24"/>
      <c r="C5" s="24"/>
      <c r="D5" s="24"/>
      <c r="E5" s="24"/>
      <c r="F5" s="24"/>
      <c r="G5" s="24"/>
      <c r="H5" s="24"/>
    </row>
    <row r="6" customFormat="false" ht="15" hidden="false" customHeight="true" outlineLevel="0" collapsed="false">
      <c r="A6" s="30" t="s">
        <v>52</v>
      </c>
      <c r="B6" s="38" t="n">
        <f aca="false">Assumptions!B6</f>
        <v>309.4</v>
      </c>
      <c r="C6" s="38" t="n">
        <f aca="false">Assumptions!C6</f>
        <v>332.2</v>
      </c>
      <c r="D6" s="38" t="n">
        <f aca="false">Assumptions!D6</f>
        <v>368.9</v>
      </c>
      <c r="E6" s="38" t="n">
        <f aca="false">Assumptions!E6</f>
        <v>374.6</v>
      </c>
      <c r="F6" s="38" t="n">
        <f aca="false">Assumptions!F6</f>
        <v>382.092</v>
      </c>
      <c r="G6" s="38" t="n">
        <f aca="false">Assumptions!G6</f>
        <v>389.73384</v>
      </c>
    </row>
    <row r="7" customFormat="false" ht="15" hidden="false" customHeight="true" outlineLevel="0" collapsed="false">
      <c r="A7" s="30" t="s">
        <v>53</v>
      </c>
      <c r="B7" s="38" t="n">
        <f aca="false">Assumptions!B8</f>
        <v>102</v>
      </c>
      <c r="C7" s="38" t="n">
        <f aca="false">Assumptions!C8</f>
        <v>110.1</v>
      </c>
      <c r="D7" s="38" t="n">
        <f aca="false">Assumptions!D8</f>
        <v>126.5</v>
      </c>
      <c r="E7" s="38" t="n">
        <f aca="false">Assumptions!E8</f>
        <v>130.5</v>
      </c>
      <c r="F7" s="38" t="n">
        <f aca="false">Assumptions!F8</f>
        <v>135.72</v>
      </c>
      <c r="G7" s="38" t="n">
        <f aca="false">Assumptions!G8</f>
        <v>141.1488</v>
      </c>
    </row>
    <row r="8" customFormat="false" ht="15" hidden="false" customHeight="true" outlineLevel="0" collapsed="false">
      <c r="A8" s="30" t="s">
        <v>54</v>
      </c>
      <c r="B8" s="38" t="n">
        <f aca="false">Assumptions!B10</f>
        <v>43</v>
      </c>
      <c r="C8" s="38" t="n">
        <f aca="false">Assumptions!C10</f>
        <v>47.2</v>
      </c>
      <c r="D8" s="38" t="n">
        <f aca="false">Assumptions!D10</f>
        <v>54.3</v>
      </c>
      <c r="E8" s="38" t="n">
        <f aca="false">Assumptions!E10</f>
        <v>110.2</v>
      </c>
      <c r="F8" s="38" t="n">
        <f aca="false">Assumptions!F10</f>
        <v>126.73</v>
      </c>
      <c r="G8" s="38" t="n">
        <f aca="false">Assumptions!G10</f>
        <v>145.7395</v>
      </c>
    </row>
    <row r="9" customFormat="false" ht="15" hidden="false" customHeight="true" outlineLevel="0" collapsed="false">
      <c r="A9" s="30" t="s">
        <v>55</v>
      </c>
      <c r="B9" s="38" t="n">
        <f aca="false">Assumptions!B12</f>
        <v>30.2</v>
      </c>
      <c r="C9" s="38" t="n">
        <f aca="false">Assumptions!C12</f>
        <v>32.2</v>
      </c>
      <c r="D9" s="38" t="n">
        <f aca="false">Assumptions!D12</f>
        <v>29.7</v>
      </c>
      <c r="E9" s="38" t="n">
        <f aca="false">Assumptions!E12</f>
        <v>30.5</v>
      </c>
      <c r="F9" s="38" t="n">
        <f aca="false">Assumptions!F12</f>
        <v>31.415</v>
      </c>
      <c r="G9" s="38" t="n">
        <f aca="false">Assumptions!G12</f>
        <v>32.35745</v>
      </c>
    </row>
    <row r="10" customFormat="false" ht="15" hidden="false" customHeight="true" outlineLevel="0" collapsed="false">
      <c r="A10" s="4" t="s">
        <v>56</v>
      </c>
      <c r="B10" s="39" t="n">
        <f aca="false">B6+B7+B8+B9</f>
        <v>484.6</v>
      </c>
      <c r="C10" s="39" t="n">
        <f aca="false">C6+C7+C8+C9</f>
        <v>521.7</v>
      </c>
      <c r="D10" s="39" t="n">
        <f aca="false">D6+D7+D8+D9</f>
        <v>579.4</v>
      </c>
      <c r="E10" s="39" t="n">
        <f aca="false">E6+E7+E8+E9</f>
        <v>645.8</v>
      </c>
      <c r="F10" s="39" t="n">
        <f aca="false">F6+F7+F8+F9</f>
        <v>675.957</v>
      </c>
      <c r="G10" s="39" t="n">
        <f aca="false">G6+G7+G8+G9</f>
        <v>708.97959</v>
      </c>
      <c r="H10" s="40"/>
    </row>
    <row r="11" customFormat="false" ht="15" hidden="false" customHeight="true" outlineLevel="0" collapsed="false">
      <c r="A11" s="19"/>
      <c r="B11" s="19"/>
      <c r="C11" s="19"/>
      <c r="D11" s="19"/>
      <c r="E11" s="19"/>
      <c r="F11" s="19"/>
      <c r="G11" s="19"/>
    </row>
    <row r="12" customFormat="false" ht="15.75" hidden="false" customHeight="true" outlineLevel="0" collapsed="false">
      <c r="A12" s="24" t="s">
        <v>57</v>
      </c>
      <c r="B12" s="24"/>
      <c r="C12" s="24"/>
      <c r="D12" s="24"/>
      <c r="E12" s="24"/>
      <c r="F12" s="24"/>
      <c r="G12" s="24"/>
      <c r="H12" s="24"/>
    </row>
    <row r="13" customFormat="false" ht="15" hidden="false" customHeight="true" outlineLevel="0" collapsed="false">
      <c r="A13" s="30" t="s">
        <v>58</v>
      </c>
      <c r="B13" s="41" t="n">
        <v>-236.9</v>
      </c>
      <c r="C13" s="41" t="n">
        <v>-254.5</v>
      </c>
      <c r="D13" s="41" t="n">
        <v>-279.1</v>
      </c>
      <c r="E13" s="41" t="n">
        <v>-297.6</v>
      </c>
      <c r="F13" s="38" t="n">
        <f aca="false">-F10*Assumptions!F17</f>
        <v>-307.560435</v>
      </c>
      <c r="G13" s="38" t="n">
        <f aca="false">-G10*Assumptions!G17</f>
        <v>-322.58571345</v>
      </c>
    </row>
    <row r="14" customFormat="false" ht="15" hidden="false" customHeight="true" outlineLevel="0" collapsed="false">
      <c r="A14" s="4" t="s">
        <v>59</v>
      </c>
      <c r="B14" s="39" t="n">
        <f aca="false">B10+B13</f>
        <v>247.7</v>
      </c>
      <c r="C14" s="39" t="n">
        <f aca="false">C10+C13</f>
        <v>267.2</v>
      </c>
      <c r="D14" s="39" t="n">
        <f aca="false">D10+D13</f>
        <v>300.3</v>
      </c>
      <c r="E14" s="39" t="n">
        <f aca="false">E10+E13</f>
        <v>348.2</v>
      </c>
      <c r="F14" s="39" t="n">
        <f aca="false">F10+F13</f>
        <v>368.396565</v>
      </c>
      <c r="G14" s="39" t="n">
        <f aca="false">G10+G13</f>
        <v>386.39387655</v>
      </c>
      <c r="H14" s="40"/>
    </row>
    <row r="15" customFormat="false" ht="15" hidden="false" customHeight="true" outlineLevel="0" collapsed="false">
      <c r="A15" s="42" t="s">
        <v>60</v>
      </c>
      <c r="B15" s="10" t="n">
        <f aca="false">B14/B10</f>
        <v>0.511143210895584</v>
      </c>
      <c r="C15" s="10" t="n">
        <f aca="false">C14/C10</f>
        <v>0.512171746214299</v>
      </c>
      <c r="D15" s="10" t="n">
        <f aca="false">D14/D10</f>
        <v>0.518294787711426</v>
      </c>
      <c r="E15" s="10" t="n">
        <f aca="false">E14/E10</f>
        <v>0.539176215546609</v>
      </c>
      <c r="F15" s="10" t="n">
        <f aca="false">F14/F10</f>
        <v>0.545</v>
      </c>
      <c r="G15" s="10" t="n">
        <f aca="false">G14/G10</f>
        <v>0.545</v>
      </c>
    </row>
    <row r="16" customFormat="false" ht="15" hidden="false" customHeight="true" outlineLevel="0" collapsed="false">
      <c r="A16" s="19"/>
      <c r="B16" s="19"/>
      <c r="C16" s="19"/>
      <c r="D16" s="19"/>
      <c r="E16" s="19"/>
      <c r="F16" s="19"/>
      <c r="G16" s="19"/>
    </row>
    <row r="17" customFormat="false" ht="15.75" hidden="false" customHeight="true" outlineLevel="0" collapsed="false">
      <c r="A17" s="24" t="s">
        <v>61</v>
      </c>
      <c r="B17" s="24"/>
      <c r="C17" s="24"/>
      <c r="D17" s="24"/>
      <c r="E17" s="24"/>
      <c r="F17" s="24"/>
      <c r="G17" s="24"/>
      <c r="H17" s="24"/>
    </row>
    <row r="18" customFormat="false" ht="15" hidden="false" customHeight="true" outlineLevel="0" collapsed="false">
      <c r="A18" s="30" t="s">
        <v>62</v>
      </c>
      <c r="B18" s="41" t="n">
        <v>-64.2</v>
      </c>
      <c r="C18" s="41" t="n">
        <v>-68.8</v>
      </c>
      <c r="D18" s="41" t="n">
        <v>-78.7</v>
      </c>
      <c r="E18" s="41" t="n">
        <v>-92.9</v>
      </c>
      <c r="F18" s="38" t="n">
        <f aca="false">E18*(1+Assumptions!F18)</f>
        <v>-95.687</v>
      </c>
      <c r="G18" s="38" t="n">
        <f aca="false">F18*(1+Assumptions!G18)</f>
        <v>-98.55761</v>
      </c>
    </row>
    <row r="19" customFormat="false" ht="15" hidden="false" customHeight="true" outlineLevel="0" collapsed="false">
      <c r="A19" s="30" t="s">
        <v>63</v>
      </c>
      <c r="B19" s="41" t="n">
        <v>-42.8</v>
      </c>
      <c r="C19" s="41" t="n">
        <v>-45.9</v>
      </c>
      <c r="D19" s="41" t="n">
        <v>-52.4</v>
      </c>
      <c r="E19" s="41" t="n">
        <v>-61.9</v>
      </c>
      <c r="F19" s="38" t="n">
        <f aca="false">E19*(1+Assumptions!F18)</f>
        <v>-63.757</v>
      </c>
      <c r="G19" s="38" t="n">
        <f aca="false">F19*(1+Assumptions!G18)</f>
        <v>-65.66971</v>
      </c>
    </row>
    <row r="20" customFormat="false" ht="15" hidden="false" customHeight="true" outlineLevel="0" collapsed="false">
      <c r="A20" s="30" t="s">
        <v>64</v>
      </c>
      <c r="B20" s="41" t="n">
        <v>-35.6</v>
      </c>
      <c r="C20" s="41" t="n">
        <v>-38.2</v>
      </c>
      <c r="D20" s="41" t="n">
        <v>-43.7</v>
      </c>
      <c r="E20" s="41" t="n">
        <v>-51.6</v>
      </c>
      <c r="F20" s="38" t="n">
        <f aca="false">E20*(1+Assumptions!F18)</f>
        <v>-53.148</v>
      </c>
      <c r="G20" s="38" t="n">
        <f aca="false">F20*(1+Assumptions!G18)</f>
        <v>-54.74244</v>
      </c>
    </row>
    <row r="21" customFormat="false" ht="15" hidden="false" customHeight="true" outlineLevel="0" collapsed="false">
      <c r="A21" s="4" t="s">
        <v>65</v>
      </c>
      <c r="B21" s="39" t="n">
        <f aca="false">SUM(B18:B20)</f>
        <v>-142.6</v>
      </c>
      <c r="C21" s="39" t="n">
        <f aca="false">SUM(C18:C20)</f>
        <v>-152.9</v>
      </c>
      <c r="D21" s="39" t="n">
        <f aca="false">SUM(D18:D20)</f>
        <v>-174.8</v>
      </c>
      <c r="E21" s="39" t="n">
        <f aca="false">SUM(E18:E20)</f>
        <v>-206.4</v>
      </c>
      <c r="F21" s="39" t="n">
        <f aca="false">SUM(F18:F20)</f>
        <v>-212.592</v>
      </c>
      <c r="G21" s="39" t="n">
        <f aca="false">SUM(G18:G20)</f>
        <v>-218.96976</v>
      </c>
      <c r="H21" s="40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19"/>
      <c r="G22" s="19"/>
    </row>
    <row r="23" customFormat="false" ht="15.75" hidden="false" customHeight="true" outlineLevel="0" collapsed="false">
      <c r="A23" s="18" t="s">
        <v>66</v>
      </c>
      <c r="B23" s="18"/>
      <c r="C23" s="18"/>
      <c r="D23" s="18"/>
      <c r="E23" s="18"/>
      <c r="F23" s="18"/>
      <c r="G23" s="18"/>
      <c r="H23" s="18"/>
    </row>
    <row r="24" customFormat="false" ht="15" hidden="false" customHeight="true" outlineLevel="0" collapsed="false">
      <c r="A24" s="43" t="s">
        <v>67</v>
      </c>
      <c r="B24" s="44" t="n">
        <v>105.1</v>
      </c>
      <c r="C24" s="44" t="n">
        <v>114.3</v>
      </c>
      <c r="D24" s="44" t="n">
        <v>125.5</v>
      </c>
      <c r="E24" s="44" t="n">
        <v>141.7</v>
      </c>
      <c r="F24" s="45" t="n">
        <f aca="false">F14+F21</f>
        <v>155.804565</v>
      </c>
      <c r="G24" s="45" t="n">
        <f aca="false">G14+G21</f>
        <v>167.42411655</v>
      </c>
      <c r="H24" s="46"/>
    </row>
    <row r="25" customFormat="false" ht="15" hidden="false" customHeight="true" outlineLevel="0" collapsed="false">
      <c r="A25" s="42" t="s">
        <v>68</v>
      </c>
      <c r="B25" s="10" t="n">
        <f aca="false">B24/B10</f>
        <v>0.216879900949236</v>
      </c>
      <c r="C25" s="10" t="n">
        <f aca="false">C24/C10</f>
        <v>0.219091431857389</v>
      </c>
      <c r="D25" s="10" t="n">
        <f aca="false">D24/D10</f>
        <v>0.216603382809803</v>
      </c>
      <c r="E25" s="10" t="n">
        <f aca="false">E24/E10</f>
        <v>0.219417776401363</v>
      </c>
      <c r="F25" s="10" t="n">
        <f aca="false">F24/F10</f>
        <v>0.230494787390322</v>
      </c>
      <c r="G25" s="10" t="n">
        <f aca="false">G24/G10</f>
        <v>0.236148006108328</v>
      </c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</row>
    <row r="27" customFormat="false" ht="15.75" hidden="false" customHeight="true" outlineLevel="0" collapsed="false">
      <c r="A27" s="24" t="s">
        <v>69</v>
      </c>
      <c r="B27" s="24"/>
      <c r="C27" s="24"/>
      <c r="D27" s="24"/>
      <c r="E27" s="24"/>
      <c r="F27" s="24"/>
      <c r="G27" s="24"/>
      <c r="H27" s="24"/>
    </row>
    <row r="28" customFormat="false" ht="15" hidden="false" customHeight="true" outlineLevel="0" collapsed="false">
      <c r="A28" s="30" t="s">
        <v>70</v>
      </c>
      <c r="B28" s="41" t="n">
        <v>-27.2</v>
      </c>
      <c r="C28" s="41" t="n">
        <v>-31.3</v>
      </c>
      <c r="D28" s="41" t="n">
        <v>-33.8</v>
      </c>
      <c r="E28" s="41" t="n">
        <v>-40</v>
      </c>
      <c r="F28" s="38" t="n">
        <f aca="false">-F10*Assumptions!F19</f>
        <v>-54.07656</v>
      </c>
      <c r="G28" s="38" t="n">
        <f aca="false">-G10*Assumptions!G19</f>
        <v>-56.7183672</v>
      </c>
    </row>
    <row r="29" customFormat="false" ht="15" hidden="false" customHeight="true" outlineLevel="0" collapsed="false">
      <c r="A29" s="30" t="s">
        <v>71</v>
      </c>
      <c r="B29" s="41" t="n">
        <v>-12.5</v>
      </c>
      <c r="C29" s="41" t="n">
        <v>-16</v>
      </c>
      <c r="D29" s="41" t="n">
        <v>0</v>
      </c>
      <c r="E29" s="41" t="n">
        <v>-10.6</v>
      </c>
      <c r="F29" s="41" t="n">
        <v>0</v>
      </c>
      <c r="G29" s="41" t="n">
        <v>0</v>
      </c>
    </row>
    <row r="30" customFormat="false" ht="15" hidden="false" customHeight="true" outlineLevel="0" collapsed="false">
      <c r="A30" s="4" t="s">
        <v>72</v>
      </c>
      <c r="B30" s="39" t="n">
        <f aca="false">B24+B28+B29</f>
        <v>65.4</v>
      </c>
      <c r="C30" s="39" t="n">
        <f aca="false">C24+C28+C29</f>
        <v>67</v>
      </c>
      <c r="D30" s="39" t="n">
        <f aca="false">D24+D28+D29</f>
        <v>91.7</v>
      </c>
      <c r="E30" s="39" t="n">
        <f aca="false">E24+E28+E29</f>
        <v>91.1</v>
      </c>
      <c r="F30" s="39" t="n">
        <f aca="false">F24+F28+F29</f>
        <v>101.728005</v>
      </c>
      <c r="G30" s="39" t="n">
        <f aca="false">G24+G28+G29</f>
        <v>110.70574935</v>
      </c>
      <c r="H30" s="40"/>
    </row>
    <row r="31" customFormat="false" ht="15" hidden="false" customHeight="true" outlineLevel="0" collapsed="false">
      <c r="A31" s="42" t="s">
        <v>73</v>
      </c>
      <c r="B31" s="10" t="n">
        <f aca="false">B30/B10</f>
        <v>0.134956665290962</v>
      </c>
      <c r="C31" s="10" t="n">
        <f aca="false">C30/C10</f>
        <v>0.128426298639065</v>
      </c>
      <c r="D31" s="10" t="n">
        <f aca="false">D30/D10</f>
        <v>0.158267172937522</v>
      </c>
      <c r="E31" s="10" t="n">
        <f aca="false">E30/E10</f>
        <v>0.141065345308145</v>
      </c>
      <c r="F31" s="10" t="n">
        <f aca="false">F30/F10</f>
        <v>0.150494787390322</v>
      </c>
      <c r="G31" s="10" t="n">
        <f aca="false">G30/G10</f>
        <v>0.156148006108328</v>
      </c>
    </row>
    <row r="32" customFormat="false" ht="15.75" hidden="false" customHeight="true" outlineLevel="0" collapsed="false">
      <c r="A32" s="47"/>
      <c r="B32" s="19"/>
      <c r="C32" s="19"/>
      <c r="D32" s="19"/>
      <c r="E32" s="19"/>
      <c r="F32" s="19"/>
      <c r="G32" s="19"/>
    </row>
    <row r="33" customFormat="false" ht="15.75" hidden="false" customHeight="true" outlineLevel="0" collapsed="false">
      <c r="A33" s="24" t="s">
        <v>74</v>
      </c>
      <c r="B33" s="24"/>
      <c r="C33" s="24"/>
      <c r="D33" s="24"/>
      <c r="E33" s="24"/>
      <c r="F33" s="24"/>
      <c r="G33" s="24"/>
      <c r="H33" s="24"/>
    </row>
    <row r="34" customFormat="false" ht="15" hidden="false" customHeight="true" outlineLevel="0" collapsed="false">
      <c r="A34" s="30" t="s">
        <v>75</v>
      </c>
      <c r="B34" s="41" t="n">
        <v>0.8</v>
      </c>
      <c r="C34" s="41" t="n">
        <v>5.4</v>
      </c>
      <c r="D34" s="41" t="n">
        <v>7.1</v>
      </c>
      <c r="E34" s="41" t="n">
        <v>2.9</v>
      </c>
      <c r="F34" s="41" t="n">
        <v>1.5</v>
      </c>
      <c r="G34" s="41" t="n">
        <v>2</v>
      </c>
    </row>
    <row r="35" customFormat="false" ht="15" hidden="false" customHeight="true" outlineLevel="0" collapsed="false">
      <c r="A35" s="30" t="s">
        <v>76</v>
      </c>
      <c r="B35" s="41" t="n">
        <v>-1.3</v>
      </c>
      <c r="C35" s="41" t="n">
        <v>-0.9</v>
      </c>
      <c r="D35" s="41" t="n">
        <v>-1.8</v>
      </c>
      <c r="E35" s="41" t="n">
        <v>-6.1</v>
      </c>
      <c r="F35" s="41" t="n">
        <v>-6.5</v>
      </c>
      <c r="G35" s="41" t="n">
        <v>-6</v>
      </c>
    </row>
    <row r="36" customFormat="false" ht="15" hidden="false" customHeight="true" outlineLevel="0" collapsed="false">
      <c r="A36" s="48" t="s">
        <v>77</v>
      </c>
      <c r="B36" s="49" t="n">
        <f aca="false">B30+B34+B35</f>
        <v>64.9</v>
      </c>
      <c r="C36" s="49" t="n">
        <f aca="false">C30+C34+C35</f>
        <v>71.5</v>
      </c>
      <c r="D36" s="49" t="n">
        <f aca="false">D30+D34+D35</f>
        <v>97</v>
      </c>
      <c r="E36" s="49" t="n">
        <f aca="false">E30+E34+E35</f>
        <v>87.9</v>
      </c>
      <c r="F36" s="49" t="n">
        <f aca="false">F30+F34+F35</f>
        <v>96.728005</v>
      </c>
      <c r="G36" s="49" t="n">
        <f aca="false">G30+G34+G35</f>
        <v>106.70574935</v>
      </c>
    </row>
    <row r="37" customFormat="false" ht="15" hidden="false" customHeight="true" outlineLevel="0" collapsed="false">
      <c r="A37" s="30" t="s">
        <v>78</v>
      </c>
      <c r="B37" s="41" t="n">
        <v>-15.4</v>
      </c>
      <c r="C37" s="41" t="n">
        <v>-17.8</v>
      </c>
      <c r="D37" s="41" t="n">
        <v>-25.8</v>
      </c>
      <c r="E37" s="41" t="n">
        <v>-22.7</v>
      </c>
      <c r="F37" s="38" t="n">
        <f aca="false">-MAX(F36,0)*Assumptions!F21</f>
        <v>-24.18200125</v>
      </c>
      <c r="G37" s="38" t="n">
        <f aca="false">-MAX(G36,0)*Assumptions!G21</f>
        <v>-26.6764373375</v>
      </c>
    </row>
    <row r="38" customFormat="false" ht="15" hidden="false" customHeight="true" outlineLevel="0" collapsed="false">
      <c r="A38" s="4" t="s">
        <v>79</v>
      </c>
      <c r="B38" s="39" t="n">
        <f aca="false">B36+B37</f>
        <v>49.5</v>
      </c>
      <c r="C38" s="39" t="n">
        <f aca="false">C36+C37</f>
        <v>53.7</v>
      </c>
      <c r="D38" s="39" t="n">
        <f aca="false">D36+D37</f>
        <v>71.2</v>
      </c>
      <c r="E38" s="39" t="n">
        <f aca="false">E36+E37</f>
        <v>65.2</v>
      </c>
      <c r="F38" s="39" t="n">
        <f aca="false">F36+F37</f>
        <v>72.54600375</v>
      </c>
      <c r="G38" s="39" t="n">
        <f aca="false">G36+G37</f>
        <v>80.0293120125</v>
      </c>
      <c r="H38" s="40"/>
    </row>
    <row r="39" customFormat="false" ht="15" hidden="false" customHeight="true" outlineLevel="0" collapsed="false">
      <c r="A39" s="42" t="s">
        <v>80</v>
      </c>
      <c r="B39" s="10" t="n">
        <f aca="false">B38/B10</f>
        <v>0.102146099876187</v>
      </c>
      <c r="C39" s="10" t="n">
        <f aca="false">C38/C10</f>
        <v>0.102932719953997</v>
      </c>
      <c r="D39" s="10" t="n">
        <f aca="false">D38/D10</f>
        <v>0.122885743872972</v>
      </c>
      <c r="E39" s="10" t="n">
        <f aca="false">E38/E10</f>
        <v>0.100960049550945</v>
      </c>
      <c r="F39" s="10" t="n">
        <f aca="false">F38/F10</f>
        <v>0.107323400379018</v>
      </c>
      <c r="G39" s="10" t="n">
        <f aca="false">G38/G10</f>
        <v>0.112879571064239</v>
      </c>
    </row>
    <row r="40" customFormat="false" ht="15" hidden="false" customHeight="true" outlineLevel="0" collapsed="false">
      <c r="A40" s="19"/>
      <c r="B40" s="19"/>
      <c r="C40" s="19"/>
      <c r="D40" s="19"/>
      <c r="E40" s="19"/>
      <c r="F40" s="19"/>
      <c r="G40" s="19"/>
    </row>
    <row r="41" customFormat="false" ht="15" hidden="false" customHeight="true" outlineLevel="0" collapsed="false">
      <c r="A41" s="19"/>
      <c r="B41" s="19"/>
      <c r="C41" s="19"/>
      <c r="D41" s="19"/>
      <c r="E41" s="19"/>
      <c r="F41" s="19"/>
      <c r="G41" s="19"/>
    </row>
    <row r="42" customFormat="false" ht="15" hidden="false" customHeight="true" outlineLevel="0" collapsed="false">
      <c r="A42" s="19"/>
      <c r="B42" s="19"/>
      <c r="C42" s="19"/>
      <c r="D42" s="19"/>
      <c r="E42" s="19"/>
      <c r="F42" s="19"/>
      <c r="G42" s="19"/>
    </row>
    <row r="43" customFormat="false" ht="15" hidden="false" customHeight="true" outlineLevel="0" collapsed="false">
      <c r="A43" s="19"/>
      <c r="B43" s="19"/>
      <c r="C43" s="19"/>
      <c r="D43" s="19"/>
      <c r="E43" s="19"/>
      <c r="F43" s="19"/>
      <c r="G43" s="19"/>
    </row>
    <row r="44" customFormat="false" ht="15" hidden="false" customHeight="true" outlineLevel="0" collapsed="false">
      <c r="A44" s="19"/>
      <c r="B44" s="19"/>
      <c r="C44" s="19"/>
      <c r="D44" s="19"/>
      <c r="E44" s="19"/>
      <c r="F44" s="19"/>
      <c r="G44" s="19"/>
    </row>
    <row r="45" customFormat="false" ht="15" hidden="false" customHeight="true" outlineLevel="0" collapsed="false">
      <c r="A45" s="19"/>
      <c r="B45" s="19"/>
      <c r="C45" s="19"/>
      <c r="D45" s="19"/>
      <c r="E45" s="19"/>
      <c r="F45" s="19"/>
      <c r="G45" s="19"/>
    </row>
    <row r="46" customFormat="false" ht="15" hidden="false" customHeight="true" outlineLevel="0" collapsed="false">
      <c r="A46" s="19"/>
      <c r="B46" s="19"/>
      <c r="C46" s="19"/>
      <c r="D46" s="19"/>
      <c r="E46" s="19"/>
      <c r="F46" s="19"/>
      <c r="G46" s="19"/>
    </row>
    <row r="47" customFormat="false" ht="15" hidden="false" customHeight="true" outlineLevel="0" collapsed="false">
      <c r="A47" s="19"/>
      <c r="B47" s="19"/>
      <c r="C47" s="19"/>
      <c r="D47" s="19"/>
      <c r="E47" s="19"/>
      <c r="F47" s="19"/>
      <c r="G47" s="19"/>
    </row>
    <row r="48" customFormat="false" ht="15" hidden="false" customHeight="true" outlineLevel="0" collapsed="false">
      <c r="A48" s="19"/>
      <c r="B48" s="19"/>
      <c r="C48" s="19"/>
      <c r="D48" s="19"/>
      <c r="E48" s="19"/>
      <c r="F48" s="19"/>
      <c r="G48" s="19"/>
    </row>
    <row r="49" customFormat="false" ht="15" hidden="false" customHeight="true" outlineLevel="0" collapsed="false">
      <c r="A49" s="19"/>
      <c r="B49" s="19"/>
      <c r="C49" s="19"/>
      <c r="D49" s="19"/>
      <c r="E49" s="19"/>
      <c r="F49" s="19"/>
      <c r="G49" s="19"/>
    </row>
    <row r="50" customFormat="false" ht="15" hidden="false" customHeight="true" outlineLevel="0" collapsed="false">
      <c r="A50" s="19"/>
      <c r="B50" s="19"/>
      <c r="C50" s="19"/>
      <c r="D50" s="19"/>
      <c r="E50" s="19"/>
      <c r="F50" s="19"/>
      <c r="G50" s="19"/>
    </row>
    <row r="51" customFormat="false" ht="15" hidden="false" customHeight="true" outlineLevel="0" collapsed="false">
      <c r="A51" s="19"/>
      <c r="B51" s="19"/>
      <c r="C51" s="19"/>
      <c r="D51" s="19"/>
      <c r="E51" s="19"/>
      <c r="F51" s="19"/>
      <c r="G51" s="19"/>
    </row>
    <row r="52" customFormat="false" ht="15" hidden="false" customHeight="true" outlineLevel="0" collapsed="false">
      <c r="A52" s="19"/>
      <c r="B52" s="19"/>
      <c r="C52" s="19"/>
      <c r="D52" s="19"/>
      <c r="E52" s="19"/>
      <c r="F52" s="19"/>
      <c r="G52" s="19"/>
    </row>
    <row r="53" customFormat="false" ht="15" hidden="false" customHeight="true" outlineLevel="0" collapsed="false">
      <c r="A53" s="19"/>
      <c r="B53" s="19"/>
      <c r="C53" s="19"/>
      <c r="D53" s="19"/>
      <c r="E53" s="19"/>
      <c r="F53" s="19"/>
      <c r="G53" s="19"/>
    </row>
    <row r="54" customFormat="false" ht="15" hidden="false" customHeight="true" outlineLevel="0" collapsed="false">
      <c r="A54" s="19"/>
      <c r="B54" s="19"/>
      <c r="C54" s="19"/>
      <c r="D54" s="19"/>
      <c r="E54" s="19"/>
      <c r="F54" s="19"/>
      <c r="G54" s="19"/>
    </row>
    <row r="55" customFormat="false" ht="15" hidden="false" customHeight="true" outlineLevel="0" collapsed="false">
      <c r="A55" s="19"/>
      <c r="B55" s="19"/>
      <c r="C55" s="19"/>
      <c r="D55" s="19"/>
      <c r="E55" s="19"/>
      <c r="F55" s="19"/>
      <c r="G55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7346"/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4"/>
  </cols>
  <sheetData>
    <row r="1" customFormat="false" ht="27.75" hidden="false" customHeight="true" outlineLevel="0" collapsed="false">
      <c r="A1" s="2" t="s">
        <v>81</v>
      </c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50" t="s">
        <v>82</v>
      </c>
      <c r="B2" s="50"/>
      <c r="C2" s="50"/>
      <c r="D2" s="50"/>
      <c r="E2" s="50"/>
      <c r="F2" s="50"/>
      <c r="G2" s="50"/>
      <c r="H2" s="50"/>
    </row>
    <row r="4" customFormat="false" ht="18" hidden="false" customHeight="true" outlineLevel="0" collapsed="false">
      <c r="A4" s="51" t="s">
        <v>50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15.75" hidden="false" customHeight="true" outlineLevel="0" collapsed="false">
      <c r="A5" s="6" t="s">
        <v>83</v>
      </c>
      <c r="B5" s="6"/>
      <c r="C5" s="6"/>
      <c r="D5" s="6"/>
      <c r="E5" s="6"/>
      <c r="F5" s="6"/>
      <c r="G5" s="6"/>
    </row>
    <row r="6" customFormat="false" ht="15" hidden="false" customHeight="true" outlineLevel="0" collapsed="false">
      <c r="A6" s="16" t="s">
        <v>84</v>
      </c>
      <c r="B6" s="52" t="n">
        <v>33.8</v>
      </c>
      <c r="C6" s="52" t="n">
        <v>30.5</v>
      </c>
      <c r="D6" s="52" t="n">
        <v>33.6</v>
      </c>
      <c r="E6" s="52" t="n">
        <v>40</v>
      </c>
      <c r="F6" s="53" t="n">
        <f aca="false">E6+'P&amp;L'!F10*Assumptions!F24+'P&amp;L'!F28</f>
        <v>10.933849</v>
      </c>
      <c r="G6" s="53" t="n">
        <f aca="false">F6+'P&amp;L'!G10*Assumptions!G24+'P&amp;L'!G28</f>
        <v>-20.97023255</v>
      </c>
    </row>
    <row r="7" customFormat="false" ht="15" hidden="false" customHeight="true" outlineLevel="0" collapsed="false">
      <c r="A7" s="16" t="s">
        <v>85</v>
      </c>
      <c r="B7" s="52" t="n">
        <v>124.3</v>
      </c>
      <c r="C7" s="52" t="n">
        <v>154.7</v>
      </c>
      <c r="D7" s="52" t="n">
        <v>189.3</v>
      </c>
      <c r="E7" s="52" t="n">
        <v>396.8</v>
      </c>
      <c r="F7" s="54" t="n">
        <f aca="false">E7*0.97</f>
        <v>384.896</v>
      </c>
      <c r="G7" s="54" t="n">
        <f aca="false">F7*0.97</f>
        <v>373.34912</v>
      </c>
    </row>
    <row r="8" customFormat="false" ht="15" hidden="false" customHeight="true" outlineLevel="0" collapsed="false">
      <c r="A8" s="55" t="s">
        <v>86</v>
      </c>
      <c r="B8" s="56" t="n">
        <f aca="false">B6+B7</f>
        <v>158.1</v>
      </c>
      <c r="C8" s="56" t="n">
        <f aca="false">C6+C7</f>
        <v>185.2</v>
      </c>
      <c r="D8" s="56" t="n">
        <f aca="false">D6+D7</f>
        <v>222.9</v>
      </c>
      <c r="E8" s="56" t="n">
        <f aca="false">E6+E7</f>
        <v>436.8</v>
      </c>
      <c r="F8" s="56" t="n">
        <f aca="false">F6+F7</f>
        <v>395.829849</v>
      </c>
      <c r="G8" s="56" t="n">
        <f aca="false">G6+G7</f>
        <v>352.37888745</v>
      </c>
    </row>
    <row r="10" customFormat="false" ht="15.75" hidden="false" customHeight="true" outlineLevel="0" collapsed="false">
      <c r="A10" s="6" t="s">
        <v>87</v>
      </c>
      <c r="B10" s="6"/>
      <c r="C10" s="6"/>
      <c r="D10" s="6"/>
      <c r="E10" s="6"/>
      <c r="F10" s="6"/>
      <c r="G10" s="6"/>
    </row>
    <row r="11" customFormat="false" ht="15" hidden="false" customHeight="true" outlineLevel="0" collapsed="false">
      <c r="A11" s="16" t="s">
        <v>88</v>
      </c>
      <c r="B11" s="52" t="n">
        <v>75</v>
      </c>
      <c r="C11" s="52" t="n">
        <v>76.1</v>
      </c>
      <c r="D11" s="52" t="n">
        <v>80.4</v>
      </c>
      <c r="E11" s="52" t="n">
        <v>78.4</v>
      </c>
      <c r="F11" s="53" t="n">
        <f aca="false">'P&amp;L'!F10/365*Assumptions!F25</f>
        <v>79.6332904109589</v>
      </c>
      <c r="G11" s="53" t="n">
        <f aca="false">'P&amp;L'!G10/365*Assumptions!G25</f>
        <v>81.5812130958904</v>
      </c>
    </row>
    <row r="12" customFormat="false" ht="15" hidden="false" customHeight="true" outlineLevel="0" collapsed="false">
      <c r="A12" s="16" t="s">
        <v>89</v>
      </c>
      <c r="B12" s="52" t="n">
        <v>10.2</v>
      </c>
      <c r="C12" s="52" t="n">
        <v>11.8</v>
      </c>
      <c r="D12" s="52" t="n">
        <v>10</v>
      </c>
      <c r="E12" s="52" t="n">
        <v>7.5</v>
      </c>
      <c r="F12" s="53" t="n">
        <f aca="false">-'P&amp;L'!F13/365*Assumptions!F27</f>
        <v>7.58368195890411</v>
      </c>
      <c r="G12" s="53" t="n">
        <f aca="false">-'P&amp;L'!G13/365*Assumptions!G27</f>
        <v>7.07037180164384</v>
      </c>
    </row>
    <row r="13" customFormat="false" ht="15" hidden="false" customHeight="true" outlineLevel="0" collapsed="false">
      <c r="A13" s="16" t="s">
        <v>90</v>
      </c>
      <c r="B13" s="52" t="n">
        <v>34.4</v>
      </c>
      <c r="C13" s="52" t="n">
        <v>32.5</v>
      </c>
      <c r="D13" s="52" t="n">
        <v>35</v>
      </c>
      <c r="E13" s="52" t="n">
        <v>41.8</v>
      </c>
      <c r="F13" s="54" t="n">
        <f aca="false">'P&amp;L'!F10*0.025</f>
        <v>16.898925</v>
      </c>
      <c r="G13" s="54" t="n">
        <f aca="false">'P&amp;L'!G10*0.025</f>
        <v>17.72448975</v>
      </c>
    </row>
    <row r="14" customFormat="false" ht="15" hidden="false" customHeight="true" outlineLevel="0" collapsed="false">
      <c r="A14" s="16" t="s">
        <v>91</v>
      </c>
      <c r="B14" s="52" t="n">
        <v>94.6</v>
      </c>
      <c r="C14" s="52" t="n">
        <v>136.5</v>
      </c>
      <c r="D14" s="52" t="n">
        <v>153.7</v>
      </c>
      <c r="E14" s="52" t="n">
        <v>23.7</v>
      </c>
      <c r="F14" s="52" t="n">
        <v>60</v>
      </c>
      <c r="G14" s="52" t="n">
        <v>95</v>
      </c>
    </row>
    <row r="15" customFormat="false" ht="15" hidden="false" customHeight="true" outlineLevel="0" collapsed="false">
      <c r="A15" s="55" t="s">
        <v>92</v>
      </c>
      <c r="B15" s="56" t="n">
        <f aca="false">SUM(B11:B14)</f>
        <v>214.2</v>
      </c>
      <c r="C15" s="56" t="n">
        <f aca="false">SUM(C11:C14)</f>
        <v>256.9</v>
      </c>
      <c r="D15" s="56" t="n">
        <f aca="false">SUM(D11:D14)</f>
        <v>279.1</v>
      </c>
      <c r="E15" s="56" t="n">
        <f aca="false">SUM(E11:E14)</f>
        <v>151.4</v>
      </c>
      <c r="F15" s="56" t="n">
        <f aca="false">SUM(F11:F14)</f>
        <v>164.115897369863</v>
      </c>
      <c r="G15" s="56" t="n">
        <f aca="false">SUM(G11:G14)</f>
        <v>201.376074647534</v>
      </c>
    </row>
    <row r="17" customFormat="false" ht="15" hidden="false" customHeight="true" outlineLevel="0" collapsed="false">
      <c r="A17" s="57" t="s">
        <v>93</v>
      </c>
      <c r="B17" s="58" t="n">
        <f aca="false">B8+B15</f>
        <v>372.3</v>
      </c>
      <c r="C17" s="58" t="n">
        <f aca="false">C8+C15</f>
        <v>442.1</v>
      </c>
      <c r="D17" s="58" t="n">
        <f aca="false">D8+D15</f>
        <v>502</v>
      </c>
      <c r="E17" s="58" t="n">
        <f aca="false">E8+E15</f>
        <v>588.2</v>
      </c>
      <c r="F17" s="58" t="n">
        <f aca="false">F8+F15</f>
        <v>559.945746369863</v>
      </c>
      <c r="G17" s="58" t="n">
        <f aca="false">G8+G15</f>
        <v>553.754962097534</v>
      </c>
    </row>
    <row r="19" customFormat="false" ht="15.75" hidden="false" customHeight="true" outlineLevel="0" collapsed="false">
      <c r="A19" s="6" t="s">
        <v>94</v>
      </c>
      <c r="B19" s="6"/>
      <c r="C19" s="6"/>
      <c r="D19" s="6"/>
      <c r="E19" s="6"/>
      <c r="F19" s="6"/>
      <c r="G19" s="6"/>
    </row>
    <row r="20" customFormat="false" ht="15" hidden="false" customHeight="true" outlineLevel="0" collapsed="false">
      <c r="A20" s="16" t="s">
        <v>95</v>
      </c>
      <c r="B20" s="52" t="n">
        <v>-54</v>
      </c>
      <c r="C20" s="52" t="n">
        <v>-66.5</v>
      </c>
      <c r="D20" s="52" t="n">
        <v>-68.4</v>
      </c>
      <c r="E20" s="52" t="n">
        <v>-70.3</v>
      </c>
      <c r="F20" s="52" t="n">
        <v>-72</v>
      </c>
      <c r="G20" s="52" t="n">
        <v>-74</v>
      </c>
    </row>
    <row r="21" customFormat="false" ht="15" hidden="false" customHeight="true" outlineLevel="0" collapsed="false">
      <c r="A21" s="16" t="s">
        <v>96</v>
      </c>
      <c r="B21" s="52" t="n">
        <v>-18.6</v>
      </c>
      <c r="C21" s="52" t="n">
        <v>-22.6</v>
      </c>
      <c r="D21" s="52" t="n">
        <v>-26.6</v>
      </c>
      <c r="E21" s="52" t="n">
        <v>-40</v>
      </c>
      <c r="F21" s="54" t="n">
        <f aca="false">E21*1.03</f>
        <v>-41.2</v>
      </c>
      <c r="G21" s="54" t="n">
        <f aca="false">F21*1.03</f>
        <v>-42.436</v>
      </c>
    </row>
    <row r="22" customFormat="false" ht="15" hidden="false" customHeight="true" outlineLevel="0" collapsed="false">
      <c r="A22" s="16" t="s">
        <v>97</v>
      </c>
      <c r="B22" s="52" t="n">
        <v>-0.4</v>
      </c>
      <c r="C22" s="52" t="n">
        <v>-0.3</v>
      </c>
      <c r="D22" s="52" t="n">
        <v>-2</v>
      </c>
      <c r="E22" s="52" t="n">
        <v>-5.2</v>
      </c>
      <c r="F22" s="54" t="n">
        <f aca="false">E22</f>
        <v>-5.2</v>
      </c>
      <c r="G22" s="54" t="n">
        <f aca="false">F22</f>
        <v>-5.2</v>
      </c>
    </row>
    <row r="23" customFormat="false" ht="15" hidden="false" customHeight="true" outlineLevel="0" collapsed="false">
      <c r="A23" s="55" t="s">
        <v>98</v>
      </c>
      <c r="B23" s="56" t="n">
        <f aca="false">SUM(B20:B22)</f>
        <v>-73</v>
      </c>
      <c r="C23" s="56" t="n">
        <f aca="false">SUM(C20:C22)</f>
        <v>-89.4</v>
      </c>
      <c r="D23" s="56" t="n">
        <f aca="false">SUM(D20:D22)</f>
        <v>-97</v>
      </c>
      <c r="E23" s="56" t="n">
        <f aca="false">SUM(E20:E22)</f>
        <v>-115.5</v>
      </c>
      <c r="F23" s="56" t="n">
        <f aca="false">SUM(F20:F22)</f>
        <v>-118.4</v>
      </c>
      <c r="G23" s="56" t="n">
        <f aca="false">SUM(G20:G22)</f>
        <v>-121.636</v>
      </c>
    </row>
    <row r="25" customFormat="false" ht="15.75" hidden="false" customHeight="true" outlineLevel="0" collapsed="false">
      <c r="A25" s="6" t="s">
        <v>99</v>
      </c>
      <c r="B25" s="6"/>
      <c r="C25" s="6"/>
      <c r="D25" s="6"/>
      <c r="E25" s="6"/>
      <c r="F25" s="6"/>
      <c r="G25" s="6"/>
    </row>
    <row r="26" customFormat="false" ht="15" hidden="false" customHeight="true" outlineLevel="0" collapsed="false">
      <c r="A26" s="16" t="s">
        <v>100</v>
      </c>
      <c r="B26" s="52" t="n">
        <v>-1.7</v>
      </c>
      <c r="C26" s="52" t="n">
        <v>-1.4</v>
      </c>
      <c r="D26" s="52" t="n">
        <v>-5.9</v>
      </c>
      <c r="E26" s="52" t="n">
        <v>-45.6</v>
      </c>
      <c r="F26" s="52" t="n">
        <v>-40.6</v>
      </c>
      <c r="G26" s="52" t="n">
        <v>-35.6</v>
      </c>
    </row>
    <row r="27" customFormat="false" ht="15" hidden="false" customHeight="true" outlineLevel="0" collapsed="false">
      <c r="A27" s="16" t="s">
        <v>101</v>
      </c>
      <c r="B27" s="52" t="n">
        <v>-11.3</v>
      </c>
      <c r="C27" s="52" t="n">
        <v>-10.4</v>
      </c>
      <c r="D27" s="52" t="n">
        <v>-17.6</v>
      </c>
      <c r="E27" s="52" t="n">
        <v>-48.8</v>
      </c>
      <c r="F27" s="52" t="n">
        <v>-50</v>
      </c>
      <c r="G27" s="52" t="n">
        <v>-52</v>
      </c>
    </row>
    <row r="28" customFormat="false" ht="15" hidden="false" customHeight="true" outlineLevel="0" collapsed="false">
      <c r="A28" s="55" t="s">
        <v>102</v>
      </c>
      <c r="B28" s="56" t="n">
        <f aca="false">B26+B27</f>
        <v>-13</v>
      </c>
      <c r="C28" s="56" t="n">
        <f aca="false">C26+C27</f>
        <v>-11.8</v>
      </c>
      <c r="D28" s="56" t="n">
        <f aca="false">D26+D27</f>
        <v>-23.5</v>
      </c>
      <c r="E28" s="56" t="n">
        <f aca="false">E26+E27</f>
        <v>-94.4</v>
      </c>
      <c r="F28" s="56" t="n">
        <f aca="false">F26+F27</f>
        <v>-90.6</v>
      </c>
      <c r="G28" s="56" t="n">
        <f aca="false">G26+G27</f>
        <v>-87.6</v>
      </c>
    </row>
    <row r="29" customFormat="false" ht="15" hidden="false" customHeight="true" outlineLevel="0" collapsed="false">
      <c r="A29" s="59" t="s">
        <v>103</v>
      </c>
      <c r="B29" s="54" t="n">
        <f aca="false">ABS(B22)+ABS(B26)</f>
        <v>2.1</v>
      </c>
      <c r="C29" s="54" t="n">
        <f aca="false">ABS(C22)+ABS(C26)</f>
        <v>1.7</v>
      </c>
      <c r="D29" s="54" t="n">
        <f aca="false">ABS(D22)+ABS(D26)</f>
        <v>7.9</v>
      </c>
      <c r="E29" s="54" t="n">
        <f aca="false">ABS(E22)+ABS(E26)</f>
        <v>50.8</v>
      </c>
      <c r="F29" s="54" t="n">
        <f aca="false">ABS(F22)+ABS(F26)</f>
        <v>45.8</v>
      </c>
      <c r="G29" s="54" t="n">
        <f aca="false">ABS(G22)+ABS(G26)</f>
        <v>40.8</v>
      </c>
    </row>
    <row r="31" customFormat="false" ht="15.75" hidden="false" customHeight="true" outlineLevel="0" collapsed="false">
      <c r="A31" s="6" t="s">
        <v>104</v>
      </c>
      <c r="B31" s="6"/>
      <c r="C31" s="6"/>
      <c r="D31" s="6"/>
      <c r="E31" s="6"/>
      <c r="F31" s="6"/>
      <c r="G31" s="6"/>
    </row>
    <row r="32" customFormat="false" ht="15" hidden="false" customHeight="true" outlineLevel="0" collapsed="false">
      <c r="A32" s="16" t="s">
        <v>105</v>
      </c>
      <c r="B32" s="52" t="n">
        <v>18.2</v>
      </c>
      <c r="C32" s="52" t="n">
        <v>22.9</v>
      </c>
      <c r="D32" s="52" t="n">
        <v>23.5</v>
      </c>
      <c r="E32" s="52" t="n">
        <v>23.5</v>
      </c>
      <c r="F32" s="54" t="n">
        <f aca="false">E32</f>
        <v>23.5</v>
      </c>
      <c r="G32" s="54" t="n">
        <f aca="false">F32</f>
        <v>23.5</v>
      </c>
    </row>
    <row r="33" customFormat="false" ht="15" hidden="false" customHeight="true" outlineLevel="0" collapsed="false">
      <c r="A33" s="16" t="s">
        <v>106</v>
      </c>
      <c r="B33" s="60" t="n">
        <f aca="false">B17+B23+B28-B32</f>
        <v>268.1</v>
      </c>
      <c r="C33" s="60" t="n">
        <f aca="false">C17+C23+C28-C32</f>
        <v>318</v>
      </c>
      <c r="D33" s="60" t="n">
        <f aca="false">D17+D23+D28-D32</f>
        <v>358</v>
      </c>
      <c r="E33" s="60" t="n">
        <f aca="false">E17+E23+E28-E32</f>
        <v>354.8</v>
      </c>
      <c r="F33" s="60" t="n">
        <f aca="false">F17+F23+F28-F32</f>
        <v>327.445746369863</v>
      </c>
      <c r="G33" s="60" t="n">
        <f aca="false">G17+G23+G28-G32</f>
        <v>321.018962097534</v>
      </c>
    </row>
    <row r="34" customFormat="false" ht="15" hidden="false" customHeight="true" outlineLevel="0" collapsed="false">
      <c r="A34" s="55" t="s">
        <v>107</v>
      </c>
      <c r="B34" s="56" t="n">
        <f aca="false">B32+B33</f>
        <v>286.3</v>
      </c>
      <c r="C34" s="56" t="n">
        <f aca="false">C32+C33</f>
        <v>340.9</v>
      </c>
      <c r="D34" s="56" t="n">
        <f aca="false">D32+D33</f>
        <v>381.5</v>
      </c>
      <c r="E34" s="56" t="n">
        <f aca="false">E32+E33</f>
        <v>378.3</v>
      </c>
      <c r="F34" s="56" t="n">
        <f aca="false">F32+F33</f>
        <v>350.945746369863</v>
      </c>
      <c r="G34" s="56" t="n">
        <f aca="false">G32+G33</f>
        <v>344.518962097534</v>
      </c>
    </row>
    <row r="36" customFormat="false" ht="15" hidden="false" customHeight="true" outlineLevel="0" collapsed="false">
      <c r="A36" s="57" t="s">
        <v>108</v>
      </c>
      <c r="B36" s="61" t="n">
        <f aca="false">B34-B23-B28</f>
        <v>372.3</v>
      </c>
      <c r="C36" s="61" t="n">
        <f aca="false">C34-C23-C28</f>
        <v>442.1</v>
      </c>
      <c r="D36" s="61" t="n">
        <f aca="false">D34-D23-D28</f>
        <v>502</v>
      </c>
      <c r="E36" s="61" t="n">
        <f aca="false">E34-E23-E28</f>
        <v>588.2</v>
      </c>
      <c r="F36" s="61" t="n">
        <f aca="false">F34-F23-F28</f>
        <v>559.945746369863</v>
      </c>
      <c r="G36" s="61" t="n">
        <f aca="false">G34-G23-G28</f>
        <v>553.754962097534</v>
      </c>
    </row>
    <row r="37" customFormat="false" ht="15" hidden="false" customHeight="true" outlineLevel="0" collapsed="false">
      <c r="A37" s="59" t="s">
        <v>109</v>
      </c>
      <c r="B37" s="62" t="str">
        <f aca="false">IF(ABS(B17-B36)&lt;1,"✓ Balanced","✗ ERROR")</f>
        <v>✓ Balanced</v>
      </c>
      <c r="C37" s="62" t="str">
        <f aca="false">IF(ABS(C17-C36)&lt;1,"✓ Balanced","✗ ERROR")</f>
        <v>✓ Balanced</v>
      </c>
      <c r="D37" s="62" t="str">
        <f aca="false">IF(ABS(D17-D36)&lt;1,"✓ Balanced","✗ ERROR")</f>
        <v>✓ Balanced</v>
      </c>
      <c r="E37" s="62" t="str">
        <f aca="false">IF(ABS(E17-E36)&lt;1,"✓ Balanced","✗ ERROR")</f>
        <v>✓ Balanced</v>
      </c>
      <c r="F37" s="62" t="str">
        <f aca="false">IF(ABS(F17-F36)&lt;1,"✓ Balanced","✗ ERROR")</f>
        <v>✓ Balanced</v>
      </c>
      <c r="G37" s="62" t="str">
        <f aca="false">IF(ABS(G17-G36)&lt;1,"✓ Balanced","✗ ERROR")</f>
        <v>✓ Balanced</v>
      </c>
    </row>
  </sheetData>
  <mergeCells count="7">
    <mergeCell ref="A1:H1"/>
    <mergeCell ref="A2:H2"/>
    <mergeCell ref="A5:G5"/>
    <mergeCell ref="A10:G10"/>
    <mergeCell ref="A19:G19"/>
    <mergeCell ref="A25:G25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7" min="2" style="1" width="14"/>
  </cols>
  <sheetData>
    <row r="1" customFormat="false" ht="27.75" hidden="false" customHeight="true" outlineLevel="0" collapsed="false">
      <c r="A1" s="2" t="s">
        <v>110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50" t="s">
        <v>111</v>
      </c>
      <c r="B2" s="50"/>
      <c r="C2" s="50"/>
      <c r="D2" s="50"/>
      <c r="E2" s="50"/>
      <c r="F2" s="50"/>
      <c r="G2" s="50"/>
      <c r="H2" s="50"/>
    </row>
    <row r="4" customFormat="false" ht="18" hidden="false" customHeight="true" outlineLevel="0" collapsed="false">
      <c r="A4" s="51" t="s">
        <v>50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15.75" hidden="false" customHeight="true" outlineLevel="0" collapsed="false">
      <c r="A5" s="6" t="s">
        <v>112</v>
      </c>
      <c r="B5" s="6"/>
      <c r="C5" s="6"/>
      <c r="D5" s="6"/>
      <c r="E5" s="6"/>
      <c r="F5" s="6"/>
      <c r="G5" s="6"/>
    </row>
    <row r="6" customFormat="false" ht="15" hidden="false" customHeight="true" outlineLevel="0" collapsed="false">
      <c r="A6" s="16" t="s">
        <v>113</v>
      </c>
      <c r="B6" s="53" t="n">
        <f aca="false">'P&amp;L'!B36</f>
        <v>64.9</v>
      </c>
      <c r="C6" s="53" t="n">
        <f aca="false">'P&amp;L'!C36</f>
        <v>71.5</v>
      </c>
      <c r="D6" s="53" t="n">
        <f aca="false">'P&amp;L'!D36</f>
        <v>97</v>
      </c>
      <c r="E6" s="53" t="n">
        <f aca="false">'P&amp;L'!E36</f>
        <v>87.9</v>
      </c>
      <c r="F6" s="53" t="n">
        <f aca="false">'P&amp;L'!F36</f>
        <v>96.728005</v>
      </c>
      <c r="G6" s="53" t="n">
        <f aca="false">'P&amp;L'!G36</f>
        <v>106.70574935</v>
      </c>
    </row>
    <row r="7" customFormat="false" ht="15" hidden="false" customHeight="true" outlineLevel="0" collapsed="false">
      <c r="A7" s="16" t="s">
        <v>114</v>
      </c>
      <c r="B7" s="53" t="n">
        <f aca="false">-'P&amp;L'!B28</f>
        <v>27.2</v>
      </c>
      <c r="C7" s="53" t="n">
        <f aca="false">-'P&amp;L'!C28</f>
        <v>31.3</v>
      </c>
      <c r="D7" s="53" t="n">
        <f aca="false">-'P&amp;L'!D28</f>
        <v>33.8</v>
      </c>
      <c r="E7" s="53" t="n">
        <f aca="false">-'P&amp;L'!E28</f>
        <v>40</v>
      </c>
      <c r="F7" s="53" t="n">
        <f aca="false">-'P&amp;L'!F28</f>
        <v>54.07656</v>
      </c>
      <c r="G7" s="53" t="n">
        <f aca="false">-'P&amp;L'!G28</f>
        <v>56.7183672</v>
      </c>
    </row>
    <row r="8" customFormat="false" ht="15" hidden="false" customHeight="true" outlineLevel="0" collapsed="false">
      <c r="A8" s="16" t="s">
        <v>115</v>
      </c>
      <c r="B8" s="52" t="n">
        <v>0</v>
      </c>
      <c r="C8" s="52" t="n">
        <v>-1.1</v>
      </c>
      <c r="D8" s="52" t="n">
        <v>-4.3</v>
      </c>
      <c r="E8" s="52" t="n">
        <v>2</v>
      </c>
      <c r="F8" s="53" t="n">
        <f aca="false">BalanceSheet!E11-BalanceSheet!F11</f>
        <v>-1.2332904109589</v>
      </c>
      <c r="G8" s="53" t="n">
        <f aca="false">BalanceSheet!F11-BalanceSheet!G11</f>
        <v>-1.9479226849315</v>
      </c>
    </row>
    <row r="9" customFormat="false" ht="15" hidden="false" customHeight="true" outlineLevel="0" collapsed="false">
      <c r="A9" s="16" t="s">
        <v>116</v>
      </c>
      <c r="B9" s="52" t="n">
        <v>0</v>
      </c>
      <c r="C9" s="52" t="n">
        <v>-1.6</v>
      </c>
      <c r="D9" s="52" t="n">
        <v>1.8</v>
      </c>
      <c r="E9" s="52" t="n">
        <v>2.5</v>
      </c>
      <c r="F9" s="53" t="n">
        <f aca="false">BalanceSheet!E12-BalanceSheet!F12</f>
        <v>-0.0836819589041085</v>
      </c>
      <c r="G9" s="53" t="n">
        <f aca="false">BalanceSheet!F12-BalanceSheet!G12</f>
        <v>0.513310157260274</v>
      </c>
    </row>
    <row r="10" customFormat="false" ht="15" hidden="false" customHeight="true" outlineLevel="0" collapsed="false">
      <c r="A10" s="16" t="s">
        <v>117</v>
      </c>
      <c r="B10" s="52" t="n">
        <v>0</v>
      </c>
      <c r="C10" s="52" t="n">
        <v>-12.5</v>
      </c>
      <c r="D10" s="52" t="n">
        <v>-1.9</v>
      </c>
      <c r="E10" s="52" t="n">
        <v>-1.9</v>
      </c>
      <c r="F10" s="53" t="n">
        <f aca="false">BalanceSheet!F20-BalanceSheet!E20</f>
        <v>-1.7</v>
      </c>
      <c r="G10" s="53" t="n">
        <f aca="false">BalanceSheet!G20-BalanceSheet!F20</f>
        <v>-2</v>
      </c>
    </row>
    <row r="11" customFormat="false" ht="15" hidden="false" customHeight="true" outlineLevel="0" collapsed="false">
      <c r="A11" s="16" t="s">
        <v>118</v>
      </c>
      <c r="B11" s="52" t="n">
        <v>0</v>
      </c>
      <c r="C11" s="52" t="n">
        <v>-4</v>
      </c>
      <c r="D11" s="52" t="n">
        <v>-4</v>
      </c>
      <c r="E11" s="52" t="n">
        <v>-13.4</v>
      </c>
      <c r="F11" s="53" t="n">
        <f aca="false">BalanceSheet!F21-BalanceSheet!E21</f>
        <v>-1.2</v>
      </c>
      <c r="G11" s="53" t="n">
        <f aca="false">BalanceSheet!G21-BalanceSheet!F21</f>
        <v>-1.236</v>
      </c>
    </row>
    <row r="12" customFormat="false" ht="15" hidden="false" customHeight="true" outlineLevel="0" collapsed="false">
      <c r="A12" s="55" t="s">
        <v>119</v>
      </c>
      <c r="B12" s="63" t="n">
        <v>92.1</v>
      </c>
      <c r="C12" s="63" t="n">
        <v>83.6</v>
      </c>
      <c r="D12" s="63" t="n">
        <v>92.9</v>
      </c>
      <c r="E12" s="63" t="n">
        <v>88.4</v>
      </c>
      <c r="F12" s="63" t="n">
        <v>95</v>
      </c>
      <c r="G12" s="63" t="n">
        <v>105</v>
      </c>
    </row>
    <row r="14" customFormat="false" ht="15.75" hidden="false" customHeight="true" outlineLevel="0" collapsed="false">
      <c r="A14" s="6" t="s">
        <v>120</v>
      </c>
      <c r="B14" s="6"/>
      <c r="C14" s="6"/>
      <c r="D14" s="6"/>
      <c r="E14" s="6"/>
      <c r="F14" s="6"/>
      <c r="G14" s="6"/>
    </row>
    <row r="15" customFormat="false" ht="15" hidden="false" customHeight="true" outlineLevel="0" collapsed="false">
      <c r="A15" s="16" t="s">
        <v>121</v>
      </c>
      <c r="B15" s="53" t="n">
        <f aca="false">-'P&amp;L'!B10*Assumptions!B24</f>
        <v>-20.3532</v>
      </c>
      <c r="C15" s="53" t="n">
        <f aca="false">-'P&amp;L'!C10*Assumptions!C24</f>
        <v>-22.9548</v>
      </c>
      <c r="D15" s="53" t="n">
        <f aca="false">-'P&amp;L'!D10*Assumptions!D24</f>
        <v>-19.1202</v>
      </c>
      <c r="E15" s="53" t="n">
        <f aca="false">-'P&amp;L'!E10*Assumptions!E24</f>
        <v>-23.8946</v>
      </c>
      <c r="F15" s="53" t="n">
        <f aca="false">-'P&amp;L'!F10*Assumptions!F24</f>
        <v>-25.010409</v>
      </c>
      <c r="G15" s="53" t="n">
        <f aca="false">-'P&amp;L'!G10*Assumptions!G24</f>
        <v>-24.81428565</v>
      </c>
    </row>
    <row r="16" customFormat="false" ht="15" hidden="false" customHeight="true" outlineLevel="0" collapsed="false">
      <c r="A16" s="55" t="s">
        <v>122</v>
      </c>
      <c r="B16" s="56" t="n">
        <f aca="false">B15</f>
        <v>-20.3532</v>
      </c>
      <c r="C16" s="56" t="n">
        <f aca="false">C15</f>
        <v>-22.9548</v>
      </c>
      <c r="D16" s="56" t="n">
        <f aca="false">D15</f>
        <v>-19.1202</v>
      </c>
      <c r="E16" s="56" t="n">
        <f aca="false">E15</f>
        <v>-23.8946</v>
      </c>
      <c r="F16" s="56" t="n">
        <f aca="false">F15</f>
        <v>-25.010409</v>
      </c>
      <c r="G16" s="56" t="n">
        <f aca="false">G15</f>
        <v>-24.81428565</v>
      </c>
    </row>
    <row r="18" customFormat="false" ht="15.75" hidden="false" customHeight="true" outlineLevel="0" collapsed="false">
      <c r="A18" s="6" t="s">
        <v>123</v>
      </c>
      <c r="B18" s="6"/>
      <c r="C18" s="6"/>
      <c r="D18" s="6"/>
      <c r="E18" s="6"/>
      <c r="F18" s="6"/>
      <c r="G18" s="6"/>
    </row>
    <row r="19" customFormat="false" ht="15" hidden="false" customHeight="true" outlineLevel="0" collapsed="false">
      <c r="A19" s="16" t="s">
        <v>124</v>
      </c>
      <c r="B19" s="52" t="n">
        <v>-0.7</v>
      </c>
      <c r="C19" s="52" t="n">
        <v>-0.5</v>
      </c>
      <c r="D19" s="52" t="n">
        <v>-1.5</v>
      </c>
      <c r="E19" s="52" t="n">
        <v>33</v>
      </c>
      <c r="F19" s="52" t="n">
        <v>-5</v>
      </c>
      <c r="G19" s="52" t="n">
        <v>-5</v>
      </c>
    </row>
    <row r="20" customFormat="false" ht="15" hidden="false" customHeight="true" outlineLevel="0" collapsed="false">
      <c r="A20" s="16" t="s">
        <v>125</v>
      </c>
      <c r="B20" s="52" t="n">
        <v>-0.1</v>
      </c>
      <c r="C20" s="52" t="n">
        <v>-0.1</v>
      </c>
      <c r="D20" s="52" t="n">
        <v>0</v>
      </c>
      <c r="E20" s="52" t="n">
        <v>-3</v>
      </c>
      <c r="F20" s="64" t="n">
        <f aca="false">'P&amp;L'!F35</f>
        <v>-6.5</v>
      </c>
      <c r="G20" s="64" t="n">
        <f aca="false">'P&amp;L'!G35</f>
        <v>-6</v>
      </c>
    </row>
    <row r="21" customFormat="false" ht="15" hidden="false" customHeight="true" outlineLevel="0" collapsed="false">
      <c r="A21" s="16" t="s">
        <v>126</v>
      </c>
      <c r="B21" s="52" t="n">
        <v>-13.3</v>
      </c>
      <c r="C21" s="52" t="n">
        <v>-15.2</v>
      </c>
      <c r="D21" s="52" t="n">
        <v>-17.3</v>
      </c>
      <c r="E21" s="52" t="n">
        <v>-18.9</v>
      </c>
      <c r="F21" s="54" t="n">
        <f aca="false">E21*1.05</f>
        <v>-19.845</v>
      </c>
      <c r="G21" s="54" t="n">
        <f aca="false">F21*1.05</f>
        <v>-20.83725</v>
      </c>
    </row>
    <row r="22" customFormat="false" ht="15" hidden="false" customHeight="true" outlineLevel="0" collapsed="false">
      <c r="A22" s="55" t="s">
        <v>127</v>
      </c>
      <c r="B22" s="56" t="n">
        <f aca="false">SUM(B19:B21)</f>
        <v>-14.1</v>
      </c>
      <c r="C22" s="56" t="n">
        <f aca="false">SUM(C19:C21)</f>
        <v>-15.8</v>
      </c>
      <c r="D22" s="56" t="n">
        <f aca="false">SUM(D19:D21)</f>
        <v>-18.8</v>
      </c>
      <c r="E22" s="56" t="n">
        <f aca="false">SUM(E19:E21)</f>
        <v>11.1</v>
      </c>
      <c r="F22" s="56" t="n">
        <f aca="false">SUM(F19:F21)</f>
        <v>-31.345</v>
      </c>
      <c r="G22" s="56" t="n">
        <f aca="false">SUM(G19:G21)</f>
        <v>-31.83725</v>
      </c>
    </row>
    <row r="24" customFormat="false" ht="15.75" hidden="false" customHeight="true" outlineLevel="0" collapsed="false">
      <c r="A24" s="6" t="s">
        <v>128</v>
      </c>
      <c r="B24" s="6"/>
      <c r="C24" s="6"/>
      <c r="D24" s="6"/>
      <c r="E24" s="6"/>
      <c r="F24" s="6"/>
      <c r="G24" s="6"/>
    </row>
    <row r="25" customFormat="false" ht="15" hidden="false" customHeight="true" outlineLevel="0" collapsed="false">
      <c r="A25" s="16" t="s">
        <v>129</v>
      </c>
      <c r="B25" s="52" t="n">
        <v>52.8</v>
      </c>
      <c r="C25" s="54" t="n">
        <f aca="false">B27</f>
        <v>110.4468</v>
      </c>
      <c r="D25" s="54" t="n">
        <f aca="false">C27</f>
        <v>155.292</v>
      </c>
      <c r="E25" s="54" t="n">
        <f aca="false">D27</f>
        <v>210.2718</v>
      </c>
      <c r="F25" s="52" t="n">
        <v>23.7</v>
      </c>
      <c r="G25" s="54" t="n">
        <f aca="false">F27</f>
        <v>62.344591</v>
      </c>
    </row>
    <row r="26" customFormat="false" ht="15" hidden="false" customHeight="true" outlineLevel="0" collapsed="false">
      <c r="A26" s="16" t="s">
        <v>130</v>
      </c>
      <c r="B26" s="65" t="n">
        <f aca="false">B12+B16+B22</f>
        <v>57.6468</v>
      </c>
      <c r="C26" s="65" t="n">
        <f aca="false">C12+C16+C22</f>
        <v>44.8452</v>
      </c>
      <c r="D26" s="65" t="n">
        <f aca="false">D12+D16+D22</f>
        <v>54.9798</v>
      </c>
      <c r="E26" s="65" t="n">
        <f aca="false">E12+E16+E22</f>
        <v>75.6054</v>
      </c>
      <c r="F26" s="65" t="n">
        <f aca="false">F12+F16+F22</f>
        <v>38.644591</v>
      </c>
      <c r="G26" s="65" t="n">
        <f aca="false">G12+G16+G22</f>
        <v>48.34846435</v>
      </c>
    </row>
    <row r="27" customFormat="false" ht="15" hidden="false" customHeight="true" outlineLevel="0" collapsed="false">
      <c r="A27" s="66" t="s">
        <v>131</v>
      </c>
      <c r="B27" s="67" t="n">
        <f aca="false">B25+B26</f>
        <v>110.4468</v>
      </c>
      <c r="C27" s="67" t="n">
        <f aca="false">C25+C26</f>
        <v>155.292</v>
      </c>
      <c r="D27" s="67" t="n">
        <f aca="false">D25+D26</f>
        <v>210.2718</v>
      </c>
      <c r="E27" s="67" t="n">
        <f aca="false">E25+E26</f>
        <v>285.8772</v>
      </c>
      <c r="F27" s="67" t="n">
        <f aca="false">F25+F26</f>
        <v>62.344591</v>
      </c>
      <c r="G27" s="67" t="n">
        <f aca="false">G25+G26</f>
        <v>110.69305535</v>
      </c>
    </row>
    <row r="34" customFormat="false" ht="15" hidden="false" customHeight="true" outlineLevel="0" collapsed="false">
      <c r="A34" s="59" t="s">
        <v>132</v>
      </c>
      <c r="B34" s="54" t="n">
        <f aca="false">B26</f>
        <v>57.6468</v>
      </c>
      <c r="C34" s="54" t="n">
        <f aca="false">C26</f>
        <v>44.8452</v>
      </c>
      <c r="D34" s="54" t="n">
        <f aca="false">D26</f>
        <v>54.9798</v>
      </c>
      <c r="E34" s="54" t="n">
        <f aca="false">E26</f>
        <v>75.6054</v>
      </c>
      <c r="F34" s="54" t="n">
        <f aca="false">F26</f>
        <v>38.644591</v>
      </c>
      <c r="G34" s="54" t="n">
        <f aca="false">G26</f>
        <v>48.34846435</v>
      </c>
    </row>
  </sheetData>
  <mergeCells count="6">
    <mergeCell ref="A1:H1"/>
    <mergeCell ref="A2:H2"/>
    <mergeCell ref="A5:G5"/>
    <mergeCell ref="A14:G14"/>
    <mergeCell ref="A18:G18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4"/>
  </cols>
  <sheetData>
    <row r="1" customFormat="false" ht="27.75" hidden="false" customHeight="true" outlineLevel="0" collapsed="false">
      <c r="A1" s="2" t="s">
        <v>133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50" t="s">
        <v>134</v>
      </c>
      <c r="B2" s="50"/>
      <c r="C2" s="50"/>
      <c r="D2" s="50"/>
      <c r="E2" s="50"/>
      <c r="F2" s="50"/>
      <c r="G2" s="50"/>
      <c r="H2" s="50"/>
    </row>
    <row r="4" customFormat="false" ht="18" hidden="false" customHeight="true" outlineLevel="0" collapsed="false">
      <c r="A4" s="51" t="s">
        <v>135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15" hidden="false" customHeight="true" outlineLevel="0" collapsed="false">
      <c r="A5" s="68" t="s">
        <v>136</v>
      </c>
      <c r="B5" s="68"/>
      <c r="C5" s="68"/>
      <c r="D5" s="68"/>
      <c r="E5" s="68"/>
      <c r="F5" s="68"/>
      <c r="G5" s="68"/>
      <c r="H5" s="68"/>
    </row>
    <row r="6" customFormat="false" ht="15" hidden="false" customHeight="true" outlineLevel="0" collapsed="false">
      <c r="A6" s="16" t="s">
        <v>137</v>
      </c>
      <c r="B6" s="53" t="n">
        <f aca="false">'P&amp;L'!B10</f>
        <v>484.6</v>
      </c>
      <c r="C6" s="53" t="n">
        <f aca="false">'P&amp;L'!C10</f>
        <v>521.7</v>
      </c>
      <c r="D6" s="53" t="n">
        <f aca="false">'P&amp;L'!D10</f>
        <v>579.4</v>
      </c>
      <c r="E6" s="53" t="n">
        <f aca="false">'P&amp;L'!E10</f>
        <v>645.8</v>
      </c>
      <c r="F6" s="53" t="n">
        <f aca="false">'P&amp;L'!F10</f>
        <v>675.957</v>
      </c>
      <c r="G6" s="53" t="n">
        <f aca="false">'P&amp;L'!G10</f>
        <v>708.97959</v>
      </c>
    </row>
    <row r="7" customFormat="false" ht="15" hidden="false" customHeight="true" outlineLevel="0" collapsed="false">
      <c r="A7" s="16" t="s">
        <v>138</v>
      </c>
    </row>
    <row r="8" customFormat="false" ht="15" hidden="false" customHeight="true" outlineLevel="0" collapsed="false">
      <c r="A8" s="16" t="s">
        <v>139</v>
      </c>
      <c r="B8" s="53" t="n">
        <f aca="false">'P&amp;L'!B24</f>
        <v>105.1</v>
      </c>
      <c r="C8" s="53" t="n">
        <f aca="false">'P&amp;L'!C24</f>
        <v>114.3</v>
      </c>
      <c r="D8" s="53" t="n">
        <f aca="false">'P&amp;L'!D24</f>
        <v>125.5</v>
      </c>
      <c r="E8" s="53" t="n">
        <f aca="false">'P&amp;L'!E24</f>
        <v>141.7</v>
      </c>
      <c r="F8" s="53" t="n">
        <f aca="false">'P&amp;L'!F24</f>
        <v>155.804565</v>
      </c>
      <c r="G8" s="53" t="n">
        <f aca="false">'P&amp;L'!G24</f>
        <v>167.42411655</v>
      </c>
    </row>
    <row r="9" customFormat="false" ht="15" hidden="false" customHeight="true" outlineLevel="0" collapsed="false">
      <c r="A9" s="16" t="s">
        <v>140</v>
      </c>
      <c r="B9" s="11" t="n">
        <f aca="false">'P&amp;L'!B25</f>
        <v>0.216879900949236</v>
      </c>
      <c r="C9" s="11" t="n">
        <f aca="false">'P&amp;L'!C25</f>
        <v>0.219091431857389</v>
      </c>
      <c r="D9" s="11" t="n">
        <f aca="false">'P&amp;L'!D25</f>
        <v>0.216603382809803</v>
      </c>
      <c r="E9" s="11" t="n">
        <f aca="false">'P&amp;L'!E25</f>
        <v>0.219417776401363</v>
      </c>
      <c r="F9" s="11" t="n">
        <f aca="false">'P&amp;L'!F25</f>
        <v>0.230494787390322</v>
      </c>
      <c r="G9" s="11" t="n">
        <f aca="false">'P&amp;L'!G25</f>
        <v>0.236148006108328</v>
      </c>
    </row>
    <row r="10" customFormat="false" ht="15" hidden="false" customHeight="true" outlineLevel="0" collapsed="false">
      <c r="A10" s="16" t="s">
        <v>141</v>
      </c>
      <c r="B10" s="53" t="n">
        <f aca="false">'P&amp;L'!B36</f>
        <v>64.9</v>
      </c>
      <c r="C10" s="53" t="n">
        <f aca="false">'P&amp;L'!C36</f>
        <v>71.5</v>
      </c>
      <c r="D10" s="53" t="n">
        <f aca="false">'P&amp;L'!D36</f>
        <v>97</v>
      </c>
      <c r="E10" s="53" t="n">
        <f aca="false">'P&amp;L'!E36</f>
        <v>87.9</v>
      </c>
      <c r="F10" s="53" t="n">
        <f aca="false">'P&amp;L'!F36</f>
        <v>96.728005</v>
      </c>
      <c r="G10" s="53" t="n">
        <f aca="false">'P&amp;L'!G36</f>
        <v>106.70574935</v>
      </c>
    </row>
    <row r="11" customFormat="false" ht="15" hidden="false" customHeight="true" outlineLevel="0" collapsed="false">
      <c r="A11" s="16" t="s">
        <v>142</v>
      </c>
      <c r="B11" s="11" t="n">
        <f aca="false">'P&amp;L'!B37</f>
        <v>-15.4</v>
      </c>
      <c r="C11" s="11" t="n">
        <f aca="false">'P&amp;L'!C37</f>
        <v>-17.8</v>
      </c>
      <c r="D11" s="11" t="n">
        <f aca="false">'P&amp;L'!D37</f>
        <v>-25.8</v>
      </c>
      <c r="E11" s="11" t="n">
        <f aca="false">'P&amp;L'!E37</f>
        <v>-22.7</v>
      </c>
      <c r="F11" s="11" t="n">
        <f aca="false">'P&amp;L'!F37</f>
        <v>-24.18200125</v>
      </c>
      <c r="G11" s="11" t="n">
        <f aca="false">'P&amp;L'!G37</f>
        <v>-26.6764373375</v>
      </c>
    </row>
    <row r="12" customFormat="false" ht="15" hidden="false" customHeight="true" outlineLevel="0" collapsed="false">
      <c r="A12" s="68" t="s">
        <v>143</v>
      </c>
      <c r="B12" s="68"/>
      <c r="C12" s="68"/>
      <c r="D12" s="68"/>
      <c r="E12" s="68"/>
      <c r="F12" s="68"/>
      <c r="G12" s="68"/>
      <c r="H12" s="68"/>
    </row>
    <row r="13" customFormat="false" ht="15" hidden="false" customHeight="true" outlineLevel="0" collapsed="false">
      <c r="A13" s="16" t="s">
        <v>144</v>
      </c>
      <c r="B13" s="11" t="n">
        <f aca="false">'P&amp;L'!B15</f>
        <v>0.511143210895584</v>
      </c>
      <c r="C13" s="11" t="n">
        <f aca="false">'P&amp;L'!C15</f>
        <v>0.512171746214299</v>
      </c>
      <c r="D13" s="11" t="n">
        <f aca="false">'P&amp;L'!D15</f>
        <v>0.518294787711426</v>
      </c>
      <c r="E13" s="11" t="n">
        <f aca="false">'P&amp;L'!E15</f>
        <v>0.539176215546609</v>
      </c>
      <c r="F13" s="11" t="n">
        <f aca="false">'P&amp;L'!F15</f>
        <v>0.545</v>
      </c>
      <c r="G13" s="11" t="n">
        <f aca="false">'P&amp;L'!G15</f>
        <v>0.545</v>
      </c>
    </row>
    <row r="14" customFormat="false" ht="15" hidden="false" customHeight="true" outlineLevel="0" collapsed="false">
      <c r="A14" s="16" t="s">
        <v>145</v>
      </c>
      <c r="B14" s="11" t="n">
        <f aca="false">'P&amp;L'!B30</f>
        <v>65.4</v>
      </c>
      <c r="C14" s="11" t="n">
        <f aca="false">'P&amp;L'!C30</f>
        <v>67</v>
      </c>
      <c r="D14" s="11" t="n">
        <f aca="false">'P&amp;L'!D30</f>
        <v>91.7</v>
      </c>
      <c r="E14" s="11" t="n">
        <f aca="false">'P&amp;L'!E30</f>
        <v>91.1</v>
      </c>
      <c r="F14" s="11" t="n">
        <f aca="false">'P&amp;L'!F30</f>
        <v>101.728005</v>
      </c>
      <c r="G14" s="11" t="n">
        <f aca="false">'P&amp;L'!G30</f>
        <v>110.70574935</v>
      </c>
    </row>
    <row r="15" customFormat="false" ht="15" hidden="false" customHeight="true" outlineLevel="0" collapsed="false">
      <c r="A15" s="68" t="s">
        <v>146</v>
      </c>
      <c r="B15" s="68"/>
      <c r="C15" s="68"/>
      <c r="D15" s="68"/>
      <c r="E15" s="68"/>
      <c r="F15" s="68"/>
      <c r="G15" s="68"/>
      <c r="H15" s="68"/>
    </row>
    <row r="16" customFormat="false" ht="15" hidden="false" customHeight="true" outlineLevel="0" collapsed="false">
      <c r="A16" s="16" t="s">
        <v>147</v>
      </c>
      <c r="B16" s="53" t="n">
        <f aca="false">BalanceSheet!B17</f>
        <v>372.3</v>
      </c>
      <c r="C16" s="53" t="n">
        <f aca="false">BalanceSheet!C17</f>
        <v>442.1</v>
      </c>
      <c r="D16" s="53" t="n">
        <f aca="false">BalanceSheet!D17</f>
        <v>502</v>
      </c>
      <c r="E16" s="53" t="n">
        <f aca="false">BalanceSheet!E17</f>
        <v>588.2</v>
      </c>
      <c r="F16" s="53" t="n">
        <f aca="false">BalanceSheet!F17</f>
        <v>559.945746369863</v>
      </c>
      <c r="G16" s="53" t="n">
        <f aca="false">BalanceSheet!G17</f>
        <v>553.754962097534</v>
      </c>
    </row>
    <row r="17" customFormat="false" ht="15" hidden="false" customHeight="true" outlineLevel="0" collapsed="false">
      <c r="A17" s="16" t="s">
        <v>148</v>
      </c>
    </row>
    <row r="18" customFormat="false" ht="15" hidden="false" customHeight="true" outlineLevel="0" collapsed="false">
      <c r="A18" s="68" t="s">
        <v>149</v>
      </c>
      <c r="B18" s="68"/>
      <c r="C18" s="68"/>
      <c r="D18" s="68"/>
      <c r="E18" s="68"/>
      <c r="F18" s="68"/>
      <c r="G18" s="68"/>
      <c r="H18" s="68"/>
    </row>
    <row r="19" customFormat="false" ht="15" hidden="false" customHeight="true" outlineLevel="0" collapsed="false">
      <c r="A19" s="16" t="s">
        <v>150</v>
      </c>
      <c r="B19" s="53" t="n">
        <f aca="false">CashFlow!B12</f>
        <v>92.1</v>
      </c>
      <c r="C19" s="53" t="n">
        <f aca="false">CashFlow!C12</f>
        <v>83.6</v>
      </c>
      <c r="D19" s="53" t="n">
        <f aca="false">CashFlow!D12</f>
        <v>92.9</v>
      </c>
      <c r="E19" s="53" t="n">
        <f aca="false">CashFlow!E12</f>
        <v>88.4</v>
      </c>
      <c r="F19" s="53" t="n">
        <f aca="false">CashFlow!F12</f>
        <v>95</v>
      </c>
      <c r="G19" s="53" t="n">
        <f aca="false">CashFlow!G12</f>
        <v>105</v>
      </c>
    </row>
    <row r="20" customFormat="false" ht="15" hidden="false" customHeight="true" outlineLevel="0" collapsed="false">
      <c r="A20" s="16" t="s">
        <v>151</v>
      </c>
      <c r="B20" s="53" t="n">
        <f aca="false">CashFlow!B15</f>
        <v>-20.3532</v>
      </c>
      <c r="C20" s="53" t="n">
        <f aca="false">CashFlow!C15</f>
        <v>-22.9548</v>
      </c>
      <c r="D20" s="53" t="n">
        <f aca="false">CashFlow!D15</f>
        <v>-19.1202</v>
      </c>
      <c r="E20" s="53" t="n">
        <f aca="false">CashFlow!E15</f>
        <v>-23.8946</v>
      </c>
      <c r="F20" s="53" t="n">
        <f aca="false">CashFlow!F15</f>
        <v>-25.010409</v>
      </c>
      <c r="G20" s="53" t="n">
        <f aca="false">CashFlow!G15</f>
        <v>-24.81428565</v>
      </c>
    </row>
    <row r="21" customFormat="false" ht="15" hidden="false" customHeight="true" outlineLevel="0" collapsed="false">
      <c r="A21" s="16" t="s">
        <v>152</v>
      </c>
    </row>
    <row r="22" customFormat="false" ht="15" hidden="false" customHeight="true" outlineLevel="0" collapsed="false">
      <c r="A22" s="68" t="s">
        <v>153</v>
      </c>
      <c r="B22" s="68"/>
      <c r="C22" s="68"/>
      <c r="D22" s="68"/>
      <c r="E22" s="68"/>
      <c r="F22" s="68"/>
      <c r="G22" s="68"/>
      <c r="H22" s="68"/>
    </row>
    <row r="23" customFormat="false" ht="15" hidden="false" customHeight="true" outlineLevel="0" collapsed="false">
      <c r="A23" s="16" t="s">
        <v>154</v>
      </c>
      <c r="B23" s="69" t="n">
        <f aca="false">Assumptions!B6</f>
        <v>309.4</v>
      </c>
      <c r="C23" s="69" t="n">
        <f aca="false">Assumptions!C6</f>
        <v>332.2</v>
      </c>
      <c r="D23" s="69" t="n">
        <f aca="false">Assumptions!D6</f>
        <v>368.9</v>
      </c>
      <c r="E23" s="69" t="n">
        <f aca="false">Assumptions!E6</f>
        <v>374.6</v>
      </c>
      <c r="F23" s="69" t="n">
        <f aca="false">Assumptions!F6</f>
        <v>382.092</v>
      </c>
      <c r="G23" s="69" t="n">
        <f aca="false">Assumptions!G6</f>
        <v>389.73384</v>
      </c>
    </row>
    <row r="24" customFormat="false" ht="15" hidden="false" customHeight="true" outlineLevel="0" collapsed="false">
      <c r="A24" s="16" t="s">
        <v>155</v>
      </c>
      <c r="B24" s="69" t="n">
        <f aca="false">Assumptions!B10</f>
        <v>43</v>
      </c>
      <c r="C24" s="69" t="n">
        <f aca="false">Assumptions!C10</f>
        <v>47.2</v>
      </c>
      <c r="D24" s="69" t="n">
        <f aca="false">Assumptions!D10</f>
        <v>54.3</v>
      </c>
      <c r="E24" s="69" t="n">
        <f aca="false">Assumptions!E10</f>
        <v>110.2</v>
      </c>
      <c r="F24" s="69" t="n">
        <f aca="false">Assumptions!F10</f>
        <v>126.73</v>
      </c>
      <c r="G24" s="69" t="n">
        <f aca="false">Assumptions!G10</f>
        <v>145.7395</v>
      </c>
    </row>
  </sheetData>
  <mergeCells count="7">
    <mergeCell ref="A1:H1"/>
    <mergeCell ref="A2:H2"/>
    <mergeCell ref="A5:H5"/>
    <mergeCell ref="A12:H12"/>
    <mergeCell ref="A15:H15"/>
    <mergeCell ref="A18:H18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2026-05-23T20:31:51Z</dcterms:created>
  <dc:creator>openpyxl</dc:creator>
  <dc:description/>
  <dc:language>en-US</dc:language>
  <cp:lastModifiedBy/>
  <dcterms:modified xsi:type="dcterms:W3CDTF">2026-05-24T20:22:51Z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